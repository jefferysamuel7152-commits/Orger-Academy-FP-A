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d84520c888370c/Desktop/"/>
    </mc:Choice>
  </mc:AlternateContent>
  <xr:revisionPtr revIDLastSave="1480" documentId="8_{8DE89490-CE6A-45E9-B43E-2E919C6D53CA}" xr6:coauthVersionLast="47" xr6:coauthVersionMax="47" xr10:uidLastSave="{C539FB65-F01F-490F-8165-99395BC8FACE}"/>
  <bookViews>
    <workbookView xWindow="-108" yWindow="-108" windowWidth="23256" windowHeight="12456" xr2:uid="{32160CB0-97A4-4942-91AC-CDD6BB836D2C}"/>
  </bookViews>
  <sheets>
    <sheet name="P&amp;L" sheetId="1" r:id="rId1"/>
    <sheet name="Pricing and Average Spending" sheetId="6" r:id="rId2"/>
    <sheet name="Customer Acquisition" sheetId="7" r:id="rId3"/>
    <sheet name="Expenses Newbustand" sheetId="8" r:id="rId4"/>
    <sheet name="Expenses Palay Market" sheetId="9" r:id="rId5"/>
    <sheet name="Expenses Jose School" sheetId="10" r:id="rId6"/>
    <sheet name="Revenue" sheetId="2" r:id="rId7"/>
    <sheet name="Capital" sheetId="5" r:id="rId8"/>
    <sheet name="Cost" sheetId="3" r:id="rId9"/>
    <sheet name="Labour" sheetId="4" r:id="rId10"/>
    <sheet name="CapEx" sheetId="13" r:id="rId11"/>
  </sheets>
  <definedNames>
    <definedName name="customer">Revenue!$B$4:$D$4</definedName>
    <definedName name="location1">'P&amp;L'!$B$1</definedName>
    <definedName name="location2">'P&amp;L'!$C$1</definedName>
    <definedName name="location3">'P&amp;L'!$D$1</definedName>
    <definedName name="Price">Revenue!$B$5:$D$5</definedName>
    <definedName name="Revenuepermonth">Revenue!$B$6:$D$6</definedName>
    <definedName name="Revenuepermonthaftercalculations">Revenue!$B$13</definedName>
    <definedName name="Revenueperyear">Revenue!$B$7:$D$7</definedName>
    <definedName name="Revenueperyearaftercalculations">Revenue!$B$14:$D$14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D23" i="1"/>
  <c r="B23" i="1"/>
  <c r="D22" i="1"/>
  <c r="C22" i="1"/>
  <c r="B22" i="1"/>
  <c r="D21" i="1"/>
  <c r="C21" i="1"/>
  <c r="B21" i="1"/>
  <c r="D6" i="1"/>
  <c r="C6" i="1"/>
  <c r="B6" i="1"/>
  <c r="D20" i="1"/>
  <c r="C20" i="1"/>
  <c r="B20" i="1"/>
  <c r="D19" i="1"/>
  <c r="C19" i="1"/>
  <c r="B19" i="1"/>
  <c r="K7" i="1"/>
  <c r="J7" i="1"/>
  <c r="I7" i="1"/>
  <c r="B8" i="1" s="1"/>
  <c r="D18" i="1"/>
  <c r="C18" i="1"/>
  <c r="B18" i="1"/>
  <c r="D10" i="1"/>
  <c r="D9" i="1"/>
  <c r="D8" i="1"/>
  <c r="C8" i="1"/>
  <c r="D7" i="1"/>
  <c r="C7" i="1"/>
  <c r="B7" i="1"/>
  <c r="B17" i="1" a="1"/>
  <c r="B17" i="1" s="1"/>
  <c r="K6" i="1"/>
  <c r="J6" i="1"/>
  <c r="I6" i="1"/>
  <c r="K3" i="1"/>
  <c r="K5" i="1" s="1"/>
  <c r="J3" i="1"/>
  <c r="J5" i="1" s="1"/>
  <c r="I3" i="1"/>
  <c r="I5" i="1" s="1"/>
  <c r="C3" i="8"/>
  <c r="C7" i="8" s="1"/>
  <c r="D3" i="8"/>
  <c r="D7" i="8" s="1"/>
  <c r="E3" i="8"/>
  <c r="F3" i="8"/>
  <c r="G3" i="8"/>
  <c r="H3" i="8"/>
  <c r="I3" i="8"/>
  <c r="I7" i="8" s="1"/>
  <c r="J3" i="8"/>
  <c r="J7" i="8" s="1"/>
  <c r="K3" i="8"/>
  <c r="K7" i="8" s="1"/>
  <c r="L3" i="8"/>
  <c r="L7" i="8" s="1"/>
  <c r="M3" i="8"/>
  <c r="B3" i="8"/>
  <c r="B7" i="8"/>
  <c r="C3" i="9"/>
  <c r="D3" i="9"/>
  <c r="E3" i="9"/>
  <c r="F3" i="9"/>
  <c r="G3" i="9"/>
  <c r="H3" i="9"/>
  <c r="I3" i="9"/>
  <c r="J3" i="9"/>
  <c r="K3" i="9"/>
  <c r="L3" i="9"/>
  <c r="M3" i="9"/>
  <c r="B3" i="9"/>
  <c r="C3" i="10"/>
  <c r="D3" i="10"/>
  <c r="E3" i="10"/>
  <c r="F3" i="10"/>
  <c r="G3" i="10"/>
  <c r="H3" i="10"/>
  <c r="I3" i="10"/>
  <c r="J3" i="10"/>
  <c r="K3" i="10"/>
  <c r="L3" i="10"/>
  <c r="M3" i="10"/>
  <c r="B3" i="10"/>
  <c r="M10" i="13"/>
  <c r="L10" i="13"/>
  <c r="K10" i="13"/>
  <c r="J10" i="13"/>
  <c r="I10" i="13"/>
  <c r="H10" i="13"/>
  <c r="G10" i="13"/>
  <c r="F10" i="13"/>
  <c r="E10" i="13"/>
  <c r="D10" i="13"/>
  <c r="C10" i="13"/>
  <c r="M9" i="13"/>
  <c r="L9" i="13"/>
  <c r="K9" i="13"/>
  <c r="J9" i="13"/>
  <c r="I9" i="13"/>
  <c r="H9" i="13"/>
  <c r="G9" i="13"/>
  <c r="F9" i="13"/>
  <c r="E9" i="13"/>
  <c r="D9" i="13"/>
  <c r="C9" i="13"/>
  <c r="M8" i="13"/>
  <c r="L8" i="13"/>
  <c r="K8" i="13"/>
  <c r="J8" i="13"/>
  <c r="I8" i="13"/>
  <c r="H8" i="13"/>
  <c r="G8" i="13"/>
  <c r="F8" i="13"/>
  <c r="E8" i="13"/>
  <c r="D8" i="13"/>
  <c r="C8" i="13"/>
  <c r="B10" i="13"/>
  <c r="B9" i="13"/>
  <c r="B8" i="13"/>
  <c r="E7" i="8"/>
  <c r="F7" i="8"/>
  <c r="G7" i="8"/>
  <c r="H7" i="8"/>
  <c r="M7" i="8"/>
  <c r="B12" i="8"/>
  <c r="O3" i="10"/>
  <c r="O3" i="9"/>
  <c r="O3" i="8"/>
  <c r="J11" i="8"/>
  <c r="D48" i="8"/>
  <c r="C48" i="8"/>
  <c r="B48" i="8"/>
  <c r="B11" i="8"/>
  <c r="B10" i="8"/>
  <c r="H30" i="8"/>
  <c r="H29" i="8"/>
  <c r="G30" i="8"/>
  <c r="G29" i="8"/>
  <c r="G28" i="8" s="1"/>
  <c r="F30" i="8"/>
  <c r="F29" i="8"/>
  <c r="C1" i="10"/>
  <c r="D1" i="10"/>
  <c r="E1" i="10"/>
  <c r="F1" i="10"/>
  <c r="G1" i="10"/>
  <c r="H1" i="10"/>
  <c r="I1" i="10"/>
  <c r="J1" i="10"/>
  <c r="K1" i="10"/>
  <c r="L1" i="10"/>
  <c r="M1" i="10"/>
  <c r="B1" i="10"/>
  <c r="C2" i="10"/>
  <c r="D2" i="10"/>
  <c r="E2" i="10"/>
  <c r="F2" i="10"/>
  <c r="G2" i="10"/>
  <c r="H2" i="10"/>
  <c r="I2" i="10"/>
  <c r="J2" i="10"/>
  <c r="K2" i="10"/>
  <c r="L2" i="10"/>
  <c r="M2" i="10"/>
  <c r="B2" i="10"/>
  <c r="M2" i="9"/>
  <c r="L2" i="9"/>
  <c r="K2" i="9"/>
  <c r="J2" i="9"/>
  <c r="I2" i="9"/>
  <c r="H2" i="9"/>
  <c r="G2" i="9"/>
  <c r="F2" i="9"/>
  <c r="E2" i="9"/>
  <c r="D2" i="9"/>
  <c r="C2" i="9"/>
  <c r="B2" i="9"/>
  <c r="C2" i="8"/>
  <c r="D2" i="8"/>
  <c r="E2" i="8"/>
  <c r="F2" i="8"/>
  <c r="G2" i="8"/>
  <c r="H2" i="8"/>
  <c r="I2" i="8"/>
  <c r="J2" i="8"/>
  <c r="K2" i="8"/>
  <c r="L2" i="8"/>
  <c r="M2" i="8"/>
  <c r="B2" i="8"/>
  <c r="D38" i="8"/>
  <c r="C38" i="8"/>
  <c r="B38" i="8"/>
  <c r="D37" i="8"/>
  <c r="C37" i="8"/>
  <c r="B37" i="8"/>
  <c r="C1" i="8"/>
  <c r="C1" i="9" s="1"/>
  <c r="D1" i="8"/>
  <c r="D1" i="9" s="1"/>
  <c r="E1" i="8"/>
  <c r="E1" i="9" s="1"/>
  <c r="F1" i="8"/>
  <c r="F1" i="9" s="1"/>
  <c r="G1" i="8"/>
  <c r="G1" i="9" s="1"/>
  <c r="H1" i="8"/>
  <c r="H1" i="9" s="1"/>
  <c r="I1" i="8"/>
  <c r="I1" i="9" s="1"/>
  <c r="J1" i="8"/>
  <c r="J1" i="9" s="1"/>
  <c r="K1" i="8"/>
  <c r="K1" i="9" s="1"/>
  <c r="L1" i="8"/>
  <c r="L1" i="9" s="1"/>
  <c r="M1" i="8"/>
  <c r="M1" i="9" s="1"/>
  <c r="B1" i="8"/>
  <c r="B1" i="9" s="1"/>
  <c r="Q10" i="6"/>
  <c r="Q9" i="6"/>
  <c r="Q8" i="6"/>
  <c r="P10" i="6"/>
  <c r="P9" i="6"/>
  <c r="P8" i="6"/>
  <c r="M10" i="6"/>
  <c r="L10" i="6"/>
  <c r="K10" i="6"/>
  <c r="J10" i="6"/>
  <c r="I10" i="6"/>
  <c r="H10" i="6"/>
  <c r="G10" i="6"/>
  <c r="F10" i="6"/>
  <c r="E10" i="6"/>
  <c r="O10" i="6" s="1"/>
  <c r="D10" i="6"/>
  <c r="C10" i="6"/>
  <c r="B10" i="6"/>
  <c r="M9" i="6"/>
  <c r="L9" i="6"/>
  <c r="K9" i="6"/>
  <c r="J9" i="6"/>
  <c r="I9" i="6"/>
  <c r="H9" i="6"/>
  <c r="G9" i="6"/>
  <c r="F9" i="6"/>
  <c r="E9" i="6"/>
  <c r="D9" i="6"/>
  <c r="C9" i="6"/>
  <c r="B9" i="6"/>
  <c r="O9" i="6" s="1"/>
  <c r="M8" i="6"/>
  <c r="L8" i="6"/>
  <c r="K8" i="6"/>
  <c r="J8" i="6"/>
  <c r="I8" i="6"/>
  <c r="H8" i="6"/>
  <c r="G8" i="6"/>
  <c r="F8" i="6"/>
  <c r="E8" i="6"/>
  <c r="D8" i="6"/>
  <c r="C8" i="6"/>
  <c r="B8" i="6"/>
  <c r="B11" i="5"/>
  <c r="D11" i="5"/>
  <c r="C11" i="5"/>
  <c r="A39" i="3"/>
  <c r="D33" i="3"/>
  <c r="D39" i="3" s="1"/>
  <c r="D5" i="1" s="1"/>
  <c r="C33" i="3"/>
  <c r="C39" i="3" s="1"/>
  <c r="C5" i="1" s="1"/>
  <c r="A33" i="3"/>
  <c r="D15" i="4"/>
  <c r="C15" i="4"/>
  <c r="B15" i="4"/>
  <c r="B33" i="3" s="1"/>
  <c r="B39" i="3" s="1"/>
  <c r="B5" i="1" s="1"/>
  <c r="D12" i="4"/>
  <c r="C12" i="4"/>
  <c r="D13" i="4"/>
  <c r="C13" i="4"/>
  <c r="B13" i="4"/>
  <c r="B12" i="4"/>
  <c r="A32" i="3"/>
  <c r="A38" i="3" s="1"/>
  <c r="A31" i="3"/>
  <c r="A37" i="3" s="1"/>
  <c r="C3" i="4"/>
  <c r="D3" i="4"/>
  <c r="D32" i="3" s="1"/>
  <c r="D38" i="3" s="1"/>
  <c r="K19" i="1" s="1"/>
  <c r="D13" i="2"/>
  <c r="D14" i="2" s="1"/>
  <c r="C13" i="2"/>
  <c r="B13" i="2"/>
  <c r="B14" i="2" s="1"/>
  <c r="H21" i="3"/>
  <c r="E21" i="3"/>
  <c r="G16" i="3"/>
  <c r="D16" i="3"/>
  <c r="H19" i="3"/>
  <c r="H20" i="3" s="1"/>
  <c r="G14" i="3"/>
  <c r="E19" i="3"/>
  <c r="E20" i="3" s="1"/>
  <c r="E22" i="3" s="1"/>
  <c r="D14" i="3"/>
  <c r="A16" i="3"/>
  <c r="B21" i="3"/>
  <c r="B20" i="3"/>
  <c r="B22" i="3" s="1"/>
  <c r="B14" i="3"/>
  <c r="G11" i="3"/>
  <c r="C11" i="3"/>
  <c r="E8" i="3"/>
  <c r="C8" i="3"/>
  <c r="J4" i="3"/>
  <c r="L4" i="3" s="1"/>
  <c r="J3" i="3"/>
  <c r="L3" i="3" s="1"/>
  <c r="I3" i="3"/>
  <c r="J2" i="3"/>
  <c r="L2" i="3" s="1"/>
  <c r="J47" i="2"/>
  <c r="L47" i="2" s="1"/>
  <c r="J46" i="2"/>
  <c r="L46" i="2" s="1"/>
  <c r="I46" i="2"/>
  <c r="J45" i="2"/>
  <c r="L45" i="2" s="1"/>
  <c r="B6" i="2" a="1"/>
  <c r="B6" i="2" s="1"/>
  <c r="B7" i="2" s="1"/>
  <c r="B23" i="2"/>
  <c r="B25" i="2" s="1"/>
  <c r="B26" i="2" s="1"/>
  <c r="G32" i="2"/>
  <c r="H32" i="2" s="1"/>
  <c r="C23" i="2"/>
  <c r="C25" i="2" s="1"/>
  <c r="C29" i="2" s="1"/>
  <c r="C30" i="2" s="1"/>
  <c r="C31" i="2" s="1"/>
  <c r="C2" i="5" s="1"/>
  <c r="D23" i="2"/>
  <c r="D25" i="2" s="1"/>
  <c r="D26" i="2" s="1"/>
  <c r="G13" i="2"/>
  <c r="H13" i="2" s="1"/>
  <c r="G26" i="2"/>
  <c r="H26" i="2" s="1"/>
  <c r="D1" i="2"/>
  <c r="D1" i="5" s="1"/>
  <c r="D22" i="2"/>
  <c r="C22" i="2"/>
  <c r="B22" i="2"/>
  <c r="C1" i="2"/>
  <c r="C1" i="5" s="1"/>
  <c r="B1" i="2"/>
  <c r="B1" i="5" s="1"/>
  <c r="C9" i="1" l="1"/>
  <c r="B9" i="1"/>
  <c r="F28" i="8"/>
  <c r="F4" i="8" s="1"/>
  <c r="I4" i="9"/>
  <c r="I7" i="9" s="1"/>
  <c r="H4" i="9"/>
  <c r="H7" i="9" s="1"/>
  <c r="H28" i="8"/>
  <c r="L4" i="10" s="1"/>
  <c r="L7" i="10" s="1"/>
  <c r="B4" i="9"/>
  <c r="G4" i="9"/>
  <c r="G7" i="9" s="1"/>
  <c r="F4" i="9"/>
  <c r="F7" i="9" s="1"/>
  <c r="M4" i="9"/>
  <c r="M7" i="9" s="1"/>
  <c r="E4" i="9"/>
  <c r="E7" i="9" s="1"/>
  <c r="L4" i="9"/>
  <c r="L7" i="9" s="1"/>
  <c r="D4" i="9"/>
  <c r="D7" i="9" s="1"/>
  <c r="K4" i="9"/>
  <c r="K7" i="9" s="1"/>
  <c r="C4" i="9"/>
  <c r="C7" i="9" s="1"/>
  <c r="J4" i="9"/>
  <c r="J7" i="9" s="1"/>
  <c r="B40" i="8"/>
  <c r="C40" i="8"/>
  <c r="D40" i="8"/>
  <c r="O8" i="6"/>
  <c r="K2" i="3"/>
  <c r="H22" i="3"/>
  <c r="K3" i="3"/>
  <c r="C32" i="3"/>
  <c r="C38" i="3" s="1"/>
  <c r="J19" i="1" s="1"/>
  <c r="B31" i="3"/>
  <c r="B37" i="3" s="1"/>
  <c r="I18" i="1" s="1"/>
  <c r="B32" i="3"/>
  <c r="B38" i="3" s="1"/>
  <c r="I19" i="1" s="1"/>
  <c r="C31" i="3"/>
  <c r="C37" i="3" s="1"/>
  <c r="J18" i="1" s="1"/>
  <c r="D31" i="3"/>
  <c r="D37" i="3" s="1"/>
  <c r="K18" i="1" s="1"/>
  <c r="C14" i="2"/>
  <c r="K45" i="2"/>
  <c r="K46" i="2"/>
  <c r="K47" i="2"/>
  <c r="K4" i="3"/>
  <c r="D7" i="2"/>
  <c r="D29" i="2"/>
  <c r="D30" i="2" s="1"/>
  <c r="D31" i="2" s="1"/>
  <c r="D2" i="5" s="1"/>
  <c r="C7" i="2"/>
  <c r="B29" i="2"/>
  <c r="B30" i="2" s="1"/>
  <c r="B31" i="2" s="1"/>
  <c r="B2" i="5" s="1"/>
  <c r="C26" i="2"/>
  <c r="B7" i="9" l="1"/>
  <c r="O4" i="9"/>
  <c r="M4" i="8"/>
  <c r="C4" i="8"/>
  <c r="I4" i="8"/>
  <c r="D4" i="8"/>
  <c r="G4" i="8"/>
  <c r="J4" i="8"/>
  <c r="H4" i="8"/>
  <c r="B4" i="8"/>
  <c r="E4" i="8"/>
  <c r="K4" i="8"/>
  <c r="L4" i="8"/>
  <c r="E4" i="10"/>
  <c r="E7" i="10" s="1"/>
  <c r="G4" i="10"/>
  <c r="G7" i="10" s="1"/>
  <c r="D4" i="10"/>
  <c r="D7" i="10" s="1"/>
  <c r="K4" i="10"/>
  <c r="K7" i="10" s="1"/>
  <c r="C4" i="10"/>
  <c r="C7" i="10" s="1"/>
  <c r="J4" i="10"/>
  <c r="J7" i="10" s="1"/>
  <c r="F4" i="10"/>
  <c r="F7" i="10" s="1"/>
  <c r="M4" i="10"/>
  <c r="M7" i="10" s="1"/>
  <c r="B4" i="10"/>
  <c r="H4" i="10"/>
  <c r="H7" i="10" s="1"/>
  <c r="I4" i="10"/>
  <c r="I7" i="10" s="1"/>
  <c r="B4" i="1" a="1"/>
  <c r="B7" i="10" l="1"/>
  <c r="O4" i="10"/>
  <c r="O4" i="8"/>
  <c r="K13" i="1"/>
  <c r="K15" i="1"/>
  <c r="J15" i="1"/>
  <c r="B4" i="1"/>
  <c r="K14" i="1"/>
  <c r="J14" i="1"/>
  <c r="J13" i="1"/>
  <c r="K11" i="1" l="1"/>
  <c r="K9" i="1"/>
  <c r="J11" i="1"/>
  <c r="J9" i="1"/>
  <c r="I15" i="1"/>
  <c r="I9" i="1" s="1"/>
  <c r="I14" i="1"/>
  <c r="I13" i="1"/>
  <c r="I1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<sst xmlns="http://schemas.openxmlformats.org/spreadsheetml/2006/main" count="342" uniqueCount="193">
  <si>
    <t>Revenue</t>
  </si>
  <si>
    <t>Year 1</t>
  </si>
  <si>
    <t>New Bustand</t>
  </si>
  <si>
    <t>Palay Market</t>
  </si>
  <si>
    <t xml:space="preserve"> Rental / Fixed Costs</t>
  </si>
  <si>
    <t>Capital Investment</t>
  </si>
  <si>
    <t>ROI</t>
  </si>
  <si>
    <t>Location</t>
  </si>
  <si>
    <t>Mode of Ownership</t>
  </si>
  <si>
    <t>Rental</t>
  </si>
  <si>
    <t xml:space="preserve">Location </t>
  </si>
  <si>
    <t>No. of . Customers</t>
  </si>
  <si>
    <t>Price</t>
  </si>
  <si>
    <t>Near Jose School</t>
  </si>
  <si>
    <t xml:space="preserve">Average students strength </t>
  </si>
  <si>
    <t>Jose school</t>
  </si>
  <si>
    <t>RoseMary Ram Nagar</t>
  </si>
  <si>
    <t>Pusphalatha</t>
  </si>
  <si>
    <t>Avg</t>
  </si>
  <si>
    <t>Average students strength in Near Jose School</t>
  </si>
  <si>
    <t>Child Jesus</t>
  </si>
  <si>
    <t>St Johns</t>
  </si>
  <si>
    <t>Chrithu Raja</t>
  </si>
  <si>
    <t>ST Antonys</t>
  </si>
  <si>
    <t>Average students strength in Palaymarket</t>
  </si>
  <si>
    <t>Average students strength in Newbustand</t>
  </si>
  <si>
    <t xml:space="preserve">Vedic </t>
  </si>
  <si>
    <t>Al Madinah</t>
  </si>
  <si>
    <t>RoseMary</t>
  </si>
  <si>
    <t>Capturable MKT</t>
  </si>
  <si>
    <t>Resident Students avg &amp; Total Available MKT</t>
  </si>
  <si>
    <t>Target Audience, Chemistry weak students</t>
  </si>
  <si>
    <t>Current Captured MKT</t>
  </si>
  <si>
    <t>Target Capturable MKT by ( Blue Ocen Strategy)</t>
  </si>
  <si>
    <t>No. of Estimated Admissions we can get</t>
  </si>
  <si>
    <t>Revenue Per Month</t>
  </si>
  <si>
    <t>Revenue Per Year</t>
  </si>
  <si>
    <t>Price Model</t>
  </si>
  <si>
    <t>Chemistry</t>
  </si>
  <si>
    <t>Based on MY Cost</t>
  </si>
  <si>
    <t>Value Proposition</t>
  </si>
  <si>
    <t>.</t>
  </si>
  <si>
    <t>Competition</t>
  </si>
  <si>
    <t>Cost of Sale</t>
  </si>
  <si>
    <t>Tests</t>
  </si>
  <si>
    <t>Cost of 1</t>
  </si>
  <si>
    <t>Number</t>
  </si>
  <si>
    <t xml:space="preserve">Staff </t>
  </si>
  <si>
    <t>UOM ( Unit Of Measurement)</t>
  </si>
  <si>
    <t>UOM Price</t>
  </si>
  <si>
    <t>Notes ( A4)</t>
  </si>
  <si>
    <t>A4</t>
  </si>
  <si>
    <t>Conversion</t>
  </si>
  <si>
    <t>20 Sheets</t>
  </si>
  <si>
    <t>Ruled Paper</t>
  </si>
  <si>
    <t>Staff</t>
  </si>
  <si>
    <t>Cost</t>
  </si>
  <si>
    <t>Monthly working hours</t>
  </si>
  <si>
    <t>working hrs per day</t>
  </si>
  <si>
    <t>cost per hour</t>
  </si>
  <si>
    <t>Staff Monthly salary</t>
  </si>
  <si>
    <t>Staff cost per test</t>
  </si>
  <si>
    <t>Cost of teacher per student ( per month)</t>
  </si>
  <si>
    <t>1 test paper</t>
  </si>
  <si>
    <t>8 tests per month</t>
  </si>
  <si>
    <t>Test paper per student</t>
  </si>
  <si>
    <t>Notes paper per student</t>
  </si>
  <si>
    <t>1 notes paper</t>
  </si>
  <si>
    <t>26 days</t>
  </si>
  <si>
    <t>For Location 1 40 students</t>
  </si>
  <si>
    <t>per student share for a teacher salary</t>
  </si>
  <si>
    <t xml:space="preserve">Test paper </t>
  </si>
  <si>
    <t xml:space="preserve">notes </t>
  </si>
  <si>
    <t>staff</t>
  </si>
  <si>
    <t>Profit Margin</t>
  </si>
  <si>
    <t>Total</t>
  </si>
  <si>
    <t xml:space="preserve">Rounded off </t>
  </si>
  <si>
    <t>For location 2 per student share for salary</t>
  </si>
  <si>
    <t>For location 3 per student share for staff</t>
  </si>
  <si>
    <t>My Decision</t>
  </si>
  <si>
    <t>Cost of operations per yr</t>
  </si>
  <si>
    <t>Marketing</t>
  </si>
  <si>
    <t xml:space="preserve">Labour </t>
  </si>
  <si>
    <t>Newbustand</t>
  </si>
  <si>
    <t>Mall</t>
  </si>
  <si>
    <t>Joseschool</t>
  </si>
  <si>
    <t>No of Students</t>
  </si>
  <si>
    <t>Cost Per person</t>
  </si>
  <si>
    <t>Total Cost of Labour</t>
  </si>
  <si>
    <t xml:space="preserve"> Labour cost per month</t>
  </si>
  <si>
    <t>Labour cost per yr</t>
  </si>
  <si>
    <t>Cost of operations Part time</t>
  </si>
  <si>
    <t>Cost of operations Full time</t>
  </si>
  <si>
    <t>Profitability for Part time</t>
  </si>
  <si>
    <t>Profitability for Full time</t>
  </si>
  <si>
    <t>Total Staff</t>
  </si>
  <si>
    <t>Part time staff</t>
  </si>
  <si>
    <t>Full time Staff</t>
  </si>
  <si>
    <t>Profitability For Total Staff</t>
  </si>
  <si>
    <t>Customers</t>
  </si>
  <si>
    <t>Capital requirements</t>
  </si>
  <si>
    <t>Interior/Partition</t>
  </si>
  <si>
    <t>Furniture</t>
  </si>
  <si>
    <t>Total Initial Investment</t>
  </si>
  <si>
    <t>Property Rent</t>
  </si>
  <si>
    <t>Property Rent Advance</t>
  </si>
  <si>
    <t xml:space="preserve"> </t>
  </si>
  <si>
    <t>Pay Back Period in Yrs ( If Loan)</t>
  </si>
  <si>
    <t>Price Model for New Bustand</t>
  </si>
  <si>
    <t>Price Model for Palay Market</t>
  </si>
  <si>
    <t>Price Model Near Jose School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</si>
  <si>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</si>
  <si>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</si>
  <si>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</si>
  <si>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</si>
  <si>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</si>
  <si>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</si>
  <si>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</si>
  <si>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</si>
  <si>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</si>
  <si>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</si>
  <si>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</si>
  <si>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</si>
  <si>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Year 2</t>
  </si>
  <si>
    <t>Year 3</t>
  </si>
  <si>
    <t>Total Staff Per Year</t>
  </si>
  <si>
    <t>part time per month</t>
  </si>
  <si>
    <t>full time per month</t>
  </si>
  <si>
    <t>full time per year</t>
  </si>
  <si>
    <t>part time per year</t>
  </si>
  <si>
    <t>Revenue Per month New Bustand</t>
  </si>
  <si>
    <t>Revenue Per month Palay Market</t>
  </si>
  <si>
    <t>Revenue Per month  Jose School</t>
  </si>
  <si>
    <t>Month</t>
  </si>
  <si>
    <t>Increase in Admissions Monthly</t>
  </si>
  <si>
    <t>Total Addressable Market</t>
  </si>
  <si>
    <t>Target Audience (Chemistry Weak Students)</t>
  </si>
  <si>
    <t>Current Captured</t>
  </si>
  <si>
    <t>Target Market to Capture</t>
  </si>
  <si>
    <t>No of Estimated Admission per month</t>
  </si>
  <si>
    <t>Factor</t>
  </si>
  <si>
    <t>Residents Newbusstand</t>
  </si>
  <si>
    <t>Residents Palay Market</t>
  </si>
  <si>
    <t xml:space="preserve">Residents Jose school </t>
  </si>
  <si>
    <t>Admissions Newbustand</t>
  </si>
  <si>
    <t>Admissions Palay Market</t>
  </si>
  <si>
    <t>Admissions Jose school</t>
  </si>
  <si>
    <t>Total available Market Newbustand</t>
  </si>
  <si>
    <t>Total available Market Palay Market</t>
  </si>
  <si>
    <t>Total available Market Jose School</t>
  </si>
  <si>
    <t>Over all of the 3 markets</t>
  </si>
  <si>
    <t>Cost of Labour</t>
  </si>
  <si>
    <t>Operating Cost</t>
  </si>
  <si>
    <t>Jose School</t>
  </si>
  <si>
    <t>Customers Newbustand</t>
  </si>
  <si>
    <t>Customers Palay Market</t>
  </si>
  <si>
    <t>Customers Jose School</t>
  </si>
  <si>
    <t>Cost of Sale Per Admission Per month</t>
  </si>
  <si>
    <t>Cost of Sales for Newbustand</t>
  </si>
  <si>
    <t>Cost of Sales for Palay Market</t>
  </si>
  <si>
    <t>Cost of Sales for Jose School</t>
  </si>
  <si>
    <t>Labour Cost for Newbustand</t>
  </si>
  <si>
    <t>Labour Cost for Palay market</t>
  </si>
  <si>
    <t>Labour Cost for Jose School</t>
  </si>
  <si>
    <t>New bustand</t>
  </si>
  <si>
    <t>Paperback</t>
  </si>
  <si>
    <t>Distributing paperback</t>
  </si>
  <si>
    <t xml:space="preserve">Digi </t>
  </si>
  <si>
    <t>Influencer</t>
  </si>
  <si>
    <t>New</t>
  </si>
  <si>
    <t>Palay</t>
  </si>
  <si>
    <t>Yr 1</t>
  </si>
  <si>
    <t>Yr 2</t>
  </si>
  <si>
    <t>Yr 3</t>
  </si>
  <si>
    <t>Misc</t>
  </si>
  <si>
    <t>Operating cost</t>
  </si>
  <si>
    <t>Total Number of Customers</t>
  </si>
  <si>
    <t>Decorations</t>
  </si>
  <si>
    <t>Jose</t>
  </si>
  <si>
    <t xml:space="preserve">  Information Source is based on the Gemini and Assumption</t>
  </si>
  <si>
    <t>This model uses structured inputs and supports monthly  and quarterly  forecasting  for revenue planning</t>
  </si>
  <si>
    <t>Gross Profit</t>
  </si>
  <si>
    <t>Total Staff Cost</t>
  </si>
  <si>
    <t>OPEX</t>
  </si>
  <si>
    <t>rent</t>
  </si>
  <si>
    <t>marketing</t>
  </si>
  <si>
    <t>Tot</t>
  </si>
  <si>
    <t>New Bus Stand</t>
  </si>
  <si>
    <t>Operating Profit</t>
  </si>
  <si>
    <t>Payback Period</t>
  </si>
  <si>
    <t>NO Payback</t>
  </si>
  <si>
    <t xml:space="preserve">Cost </t>
  </si>
  <si>
    <t>Total Operating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</si>
</sst>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9" fontId="0" fillId="0" borderId="0" xfId="1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9" fontId="0" fillId="6" borderId="0" xfId="1" applyFont="1" applyFill="1"/>
    <xf numFmtId="0" fontId="0" fillId="7" borderId="0" xfId="0" applyFill="1"/>
    <xf numFmtId="0" fontId="0" fillId="8" borderId="0" xfId="0" applyFill="1"/>
    <xf numFmtId="9" fontId="0" fillId="8" borderId="0" xfId="1" applyFont="1" applyFill="1"/>
    <xf numFmtId="0" fontId="0" fillId="9" borderId="0" xfId="0" applyFill="1"/>
    <xf numFmtId="2" fontId="0" fillId="9" borderId="0" xfId="0" applyNumberFormat="1" applyFill="1"/>
    <xf numFmtId="0" fontId="2" fillId="0" borderId="0" xfId="0" applyFont="1"/>
    <xf numFmtId="3" fontId="0" fillId="0" borderId="0" xfId="0" applyNumberFormat="1"/>
    <xf numFmtId="2" fontId="0" fillId="0" borderId="0" xfId="0" applyNumberFormat="1"/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0" borderId="1" xfId="0" applyFont="1" applyBorder="1"/>
    <xf numFmtId="3" fontId="0" fillId="0" borderId="1" xfId="0" applyNumberFormat="1" applyBorder="1"/>
    <xf numFmtId="2" fontId="0" fillId="0" borderId="1" xfId="1" applyNumberFormat="1" applyFont="1" applyFill="1" applyBorder="1"/>
    <xf numFmtId="2" fontId="0" fillId="0" borderId="1" xfId="0" applyNumberFormat="1" applyBorder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24BA-E31E-4B5A-A8FC-7ECD4C021165}">
  <dimension ref="A1:K23"/>
  <sheetViews>
    <sheetView tabSelected="1" workbookViewId="0">
      <selection activeCell="B10" sqref="B10"/>
    </sheetView>
  </sheetViews>
  <sheetFormatPr defaultRowHeight="14.4" x14ac:dyDescent="0.3"/>
  <cols>
    <col min="1" max="1" width="27.109375" bestFit="1" customWidth="1"/>
    <col min="2" max="2" width="11.5546875" bestFit="1" customWidth="1"/>
    <col min="3" max="3" width="11.21875" bestFit="1" customWidth="1"/>
    <col min="4" max="4" width="14.77734375" bestFit="1" customWidth="1"/>
    <col min="8" max="8" width="25.88671875" bestFit="1" customWidth="1"/>
    <col min="9" max="9" width="12.88671875" bestFit="1" customWidth="1"/>
    <col min="10" max="10" width="11.21875" bestFit="1" customWidth="1"/>
    <col min="11" max="11" width="14.77734375" bestFit="1" customWidth="1"/>
  </cols>
  <sheetData>
    <row r="1" spans="1:11" x14ac:dyDescent="0.3">
      <c r="A1" s="18" t="s">
        <v>7</v>
      </c>
      <c r="B1" s="18" t="s">
        <v>2</v>
      </c>
      <c r="C1" s="18" t="s">
        <v>3</v>
      </c>
      <c r="D1" s="18" t="s">
        <v>13</v>
      </c>
    </row>
    <row r="2" spans="1:11" x14ac:dyDescent="0.3">
      <c r="A2" s="18" t="s">
        <v>8</v>
      </c>
      <c r="B2" s="19" t="s">
        <v>9</v>
      </c>
      <c r="C2" s="19" t="s">
        <v>9</v>
      </c>
      <c r="D2" s="19" t="s">
        <v>9</v>
      </c>
    </row>
    <row r="3" spans="1:11" x14ac:dyDescent="0.3">
      <c r="A3" s="20"/>
      <c r="B3" s="20" t="s">
        <v>1</v>
      </c>
      <c r="C3" s="20" t="s">
        <v>1</v>
      </c>
      <c r="D3" s="20" t="s">
        <v>1</v>
      </c>
      <c r="H3" t="s">
        <v>4</v>
      </c>
      <c r="I3" s="16">
        <f>20000*12</f>
        <v>240000</v>
      </c>
      <c r="J3" s="16">
        <f>15000*12</f>
        <v>180000</v>
      </c>
      <c r="K3" s="16">
        <f>10000*12</f>
        <v>120000</v>
      </c>
    </row>
    <row r="4" spans="1:11" x14ac:dyDescent="0.3">
      <c r="A4" s="21" t="s">
        <v>0</v>
      </c>
      <c r="B4" s="20" cm="1">
        <f t="array" ref="B4:D4">Revenueperyear</f>
        <v>719520</v>
      </c>
      <c r="C4" s="20">
        <v>834504</v>
      </c>
      <c r="D4" s="20">
        <v>1349100</v>
      </c>
      <c r="H4" t="s">
        <v>183</v>
      </c>
      <c r="I4" t="s">
        <v>187</v>
      </c>
      <c r="J4" t="s">
        <v>3</v>
      </c>
      <c r="K4" t="s">
        <v>13</v>
      </c>
    </row>
    <row r="5" spans="1:11" x14ac:dyDescent="0.3">
      <c r="A5" s="21" t="s">
        <v>182</v>
      </c>
      <c r="B5" s="20">
        <f>Cost!B39</f>
        <v>384000</v>
      </c>
      <c r="C5" s="20">
        <f>Cost!C39</f>
        <v>768000</v>
      </c>
      <c r="D5" s="20">
        <f>Cost!D39</f>
        <v>960000</v>
      </c>
      <c r="H5" t="s">
        <v>184</v>
      </c>
      <c r="I5" s="16">
        <f>I3</f>
        <v>240000</v>
      </c>
      <c r="J5" s="16">
        <f>J3</f>
        <v>180000</v>
      </c>
      <c r="K5" s="16">
        <f>K3</f>
        <v>120000</v>
      </c>
    </row>
    <row r="6" spans="1:11" x14ac:dyDescent="0.3">
      <c r="A6" s="21" t="s">
        <v>5</v>
      </c>
      <c r="B6" s="22">
        <f>Capital!$B$11</f>
        <v>270000</v>
      </c>
      <c r="C6" s="22">
        <f>Capital!$C$11</f>
        <v>265000</v>
      </c>
      <c r="D6" s="22">
        <f>Capital!$D$11</f>
        <v>260000</v>
      </c>
      <c r="H6" t="s">
        <v>185</v>
      </c>
      <c r="I6">
        <f>'Expenses Newbustand'!B48</f>
        <v>13500</v>
      </c>
      <c r="J6">
        <f>'Expenses Newbustand'!C48</f>
        <v>18000</v>
      </c>
      <c r="K6">
        <f>'Expenses Newbustand'!D48</f>
        <v>13500</v>
      </c>
    </row>
    <row r="7" spans="1:11" x14ac:dyDescent="0.3">
      <c r="A7" s="21" t="s">
        <v>181</v>
      </c>
      <c r="B7" s="22">
        <f>$B$4-$B$5</f>
        <v>335520</v>
      </c>
      <c r="C7" s="22">
        <f>$C$4-$C$5</f>
        <v>66504</v>
      </c>
      <c r="D7" s="22">
        <f>$D$4-$D$5</f>
        <v>389100</v>
      </c>
      <c r="H7" t="s">
        <v>186</v>
      </c>
      <c r="I7" s="16">
        <f>$I$5+$I$6</f>
        <v>253500</v>
      </c>
      <c r="J7" s="16">
        <f>$J$5+$J$6</f>
        <v>198000</v>
      </c>
      <c r="K7" s="16">
        <f>$K$5+$K$6</f>
        <v>133500</v>
      </c>
    </row>
    <row r="8" spans="1:11" x14ac:dyDescent="0.3">
      <c r="A8" s="21" t="s">
        <v>188</v>
      </c>
      <c r="B8" s="22">
        <f>$B$7-$I$7</f>
        <v>82020</v>
      </c>
      <c r="C8" s="22">
        <f>$C$7-$J$7</f>
        <v>-131496</v>
      </c>
      <c r="D8" s="22">
        <f>$D$7-$K$7</f>
        <v>255600</v>
      </c>
    </row>
    <row r="9" spans="1:11" x14ac:dyDescent="0.3">
      <c r="A9" s="21" t="s">
        <v>6</v>
      </c>
      <c r="B9" s="23">
        <f>($B$8/$B$6)*100</f>
        <v>30.377777777777776</v>
      </c>
      <c r="C9" s="23">
        <f>$C$8/$C$6*100</f>
        <v>-49.621132075471699</v>
      </c>
      <c r="D9" s="24">
        <f>$D$8/$D$6*100</f>
        <v>98.307692307692307</v>
      </c>
      <c r="H9" t="s">
        <v>6</v>
      </c>
      <c r="I9" s="4">
        <f>I15/B6</f>
        <v>0.3537777777777778</v>
      </c>
      <c r="J9" s="4">
        <f>J15/C6</f>
        <v>-0.42828679245283019</v>
      </c>
      <c r="K9" s="4">
        <f>K15/D6</f>
        <v>1.0349999999999999</v>
      </c>
    </row>
    <row r="10" spans="1:11" x14ac:dyDescent="0.3">
      <c r="A10" s="21" t="s">
        <v>189</v>
      </c>
      <c r="B10" s="23">
        <f>$B$6/$B$8</f>
        <v>3.2918800292611556</v>
      </c>
      <c r="C10" s="24" t="s">
        <v>190</v>
      </c>
      <c r="D10" s="24">
        <f>$D$6/$D$8</f>
        <v>1.0172143974960877</v>
      </c>
      <c r="K10" t="s">
        <v>106</v>
      </c>
    </row>
    <row r="11" spans="1:11" x14ac:dyDescent="0.3">
      <c r="H11" t="s">
        <v>107</v>
      </c>
      <c r="I11" s="17">
        <f>B6/I15</f>
        <v>2.8266331658291457</v>
      </c>
      <c r="J11" s="17">
        <f>C6/J15</f>
        <v>-2.3348840487770492</v>
      </c>
      <c r="K11" s="17">
        <f>D6/K15</f>
        <v>0.96618357487922701</v>
      </c>
    </row>
    <row r="13" spans="1:11" x14ac:dyDescent="0.3">
      <c r="H13" t="s">
        <v>93</v>
      </c>
      <c r="I13" s="16">
        <f>B4-I18-I3</f>
        <v>287520</v>
      </c>
      <c r="J13" s="16">
        <f>C4-J18-J3</f>
        <v>270504</v>
      </c>
      <c r="K13" s="16">
        <f>D4-K18-K3</f>
        <v>749100</v>
      </c>
    </row>
    <row r="14" spans="1:11" x14ac:dyDescent="0.3">
      <c r="A14" s="18" t="s">
        <v>7</v>
      </c>
      <c r="B14" s="18" t="s">
        <v>2</v>
      </c>
      <c r="C14" s="18" t="s">
        <v>3</v>
      </c>
      <c r="D14" s="18" t="s">
        <v>13</v>
      </c>
      <c r="H14" t="s">
        <v>94</v>
      </c>
      <c r="I14" s="16">
        <f>B4-I19-I3</f>
        <v>287520</v>
      </c>
      <c r="J14" s="16">
        <f>C4-J19-J3</f>
        <v>270504</v>
      </c>
      <c r="K14" s="16">
        <f>D4-K19-K3</f>
        <v>749100</v>
      </c>
    </row>
    <row r="15" spans="1:11" x14ac:dyDescent="0.3">
      <c r="A15" s="18" t="s">
        <v>8</v>
      </c>
      <c r="B15" s="19" t="s">
        <v>9</v>
      </c>
      <c r="C15" s="19" t="s">
        <v>9</v>
      </c>
      <c r="D15" s="19" t="s">
        <v>9</v>
      </c>
      <c r="H15" t="s">
        <v>98</v>
      </c>
      <c r="I15" s="16">
        <f>B4-B5-I3</f>
        <v>95520</v>
      </c>
      <c r="J15" s="16">
        <f>C4-C5-J3</f>
        <v>-113496</v>
      </c>
      <c r="K15" s="16">
        <f>D4-D5-K3</f>
        <v>269100</v>
      </c>
    </row>
    <row r="16" spans="1:11" x14ac:dyDescent="0.3">
      <c r="A16" s="20"/>
      <c r="B16" s="20" t="s">
        <v>1</v>
      </c>
      <c r="C16" s="20" t="s">
        <v>1</v>
      </c>
      <c r="D16" s="20" t="s">
        <v>1</v>
      </c>
    </row>
    <row r="17" spans="1:11" x14ac:dyDescent="0.3">
      <c r="A17" s="21" t="s">
        <v>0</v>
      </c>
      <c r="B17" s="20" cm="1">
        <f t="array" ref="B17:D17">Revenueperyear</f>
        <v>719520</v>
      </c>
      <c r="C17" s="20">
        <v>834504</v>
      </c>
      <c r="D17" s="20">
        <v>1349100</v>
      </c>
      <c r="H17" t="s">
        <v>191</v>
      </c>
    </row>
    <row r="18" spans="1:11" x14ac:dyDescent="0.3">
      <c r="A18" s="21" t="s">
        <v>181</v>
      </c>
      <c r="B18" s="22">
        <f>$B$4-$B$5</f>
        <v>335520</v>
      </c>
      <c r="C18" s="22">
        <f>$C$4-$C$5</f>
        <v>66504</v>
      </c>
      <c r="D18" s="22">
        <f>$D$4-$D$5</f>
        <v>389100</v>
      </c>
      <c r="H18" t="s">
        <v>91</v>
      </c>
      <c r="I18">
        <f>Cost!B37</f>
        <v>192000</v>
      </c>
      <c r="J18">
        <f>Cost!C37</f>
        <v>384000</v>
      </c>
      <c r="K18">
        <f>Cost!D37</f>
        <v>480000</v>
      </c>
    </row>
    <row r="19" spans="1:11" x14ac:dyDescent="0.3">
      <c r="A19" t="s">
        <v>192</v>
      </c>
      <c r="B19" s="16">
        <f>$I$5+$I$6</f>
        <v>253500</v>
      </c>
      <c r="C19" s="16">
        <f>$J$5+$J$6</f>
        <v>198000</v>
      </c>
      <c r="D19" s="16">
        <f>$K$5+$K$6</f>
        <v>133500</v>
      </c>
      <c r="H19" t="s">
        <v>92</v>
      </c>
      <c r="I19">
        <f>Cost!B38</f>
        <v>192000</v>
      </c>
      <c r="J19">
        <f>Cost!C38</f>
        <v>384000</v>
      </c>
      <c r="K19">
        <f>Cost!D38</f>
        <v>480000</v>
      </c>
    </row>
    <row r="20" spans="1:11" x14ac:dyDescent="0.3">
      <c r="A20" s="21" t="s">
        <v>188</v>
      </c>
      <c r="B20" s="22">
        <f>$B$7-$I$7</f>
        <v>82020</v>
      </c>
      <c r="C20" s="22">
        <f>$C$7-$J$7</f>
        <v>-131496</v>
      </c>
      <c r="D20" s="22">
        <f>$D$7-$K$7</f>
        <v>255600</v>
      </c>
    </row>
    <row r="21" spans="1:11" x14ac:dyDescent="0.3">
      <c r="A21" s="21" t="s">
        <v>5</v>
      </c>
      <c r="B21" s="22">
        <f>Capital!$B$11</f>
        <v>270000</v>
      </c>
      <c r="C21" s="22">
        <f>Capital!$C$11</f>
        <v>265000</v>
      </c>
      <c r="D21" s="22">
        <f>Capital!$D$11</f>
        <v>260000</v>
      </c>
    </row>
    <row r="22" spans="1:11" x14ac:dyDescent="0.3">
      <c r="A22" s="21" t="s">
        <v>6</v>
      </c>
      <c r="B22" s="23">
        <f>($B$8/$B$6)*100</f>
        <v>30.377777777777776</v>
      </c>
      <c r="C22" s="23">
        <f>$C$8/$C$6*100</f>
        <v>-49.621132075471699</v>
      </c>
      <c r="D22" s="24">
        <f>$D$8/$D$6*100</f>
        <v>98.307692307692307</v>
      </c>
    </row>
    <row r="23" spans="1:11" x14ac:dyDescent="0.3">
      <c r="A23" s="21" t="s">
        <v>189</v>
      </c>
      <c r="B23" s="23">
        <f>$B$6/$B$8</f>
        <v>3.2918800292611556</v>
      </c>
      <c r="C23" s="24" t="s">
        <v>190</v>
      </c>
      <c r="D23" s="24">
        <f>$D$6/$D$8</f>
        <v>1.0172143974960877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256B-4978-4726-A7DC-37E16194C557}">
  <dimension ref="A1:Q10"/>
  <sheetViews>
    <sheetView workbookViewId="0">
      <selection sqref="A1:Q10"/>
    </sheetView>
  </sheetViews>
  <sheetFormatPr defaultRowHeight="14.4" x14ac:dyDescent="0.3"/>
  <cols>
    <col min="1" max="1" width="24.77734375" bestFit="1" customWidth="1"/>
  </cols>
  <sheetData>
    <row r="1" spans="1:17" x14ac:dyDescent="0.3"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O1" t="s">
        <v>1</v>
      </c>
      <c r="P1" t="s">
        <v>123</v>
      </c>
      <c r="Q1" t="s">
        <v>124</v>
      </c>
    </row>
    <row r="3" spans="1:17" x14ac:dyDescent="0.3">
      <c r="A3" t="s">
        <v>108</v>
      </c>
      <c r="B3" s="5">
        <v>1250</v>
      </c>
      <c r="C3" s="5">
        <v>1499</v>
      </c>
      <c r="D3" s="5">
        <v>1499</v>
      </c>
      <c r="E3" s="5">
        <v>1499</v>
      </c>
      <c r="F3" s="5">
        <v>1499</v>
      </c>
      <c r="G3" s="5">
        <v>1499</v>
      </c>
      <c r="H3" s="5">
        <v>1499</v>
      </c>
      <c r="I3" s="5">
        <v>1499</v>
      </c>
      <c r="J3" s="5">
        <v>1250</v>
      </c>
      <c r="K3" s="5">
        <v>1499</v>
      </c>
      <c r="L3" s="5">
        <v>1499</v>
      </c>
      <c r="M3" s="5">
        <v>1499</v>
      </c>
      <c r="P3" s="5">
        <v>1599</v>
      </c>
      <c r="Q3" s="5">
        <v>1650</v>
      </c>
    </row>
    <row r="4" spans="1:17" x14ac:dyDescent="0.3">
      <c r="A4" t="s">
        <v>109</v>
      </c>
      <c r="B4" s="5">
        <v>1099</v>
      </c>
      <c r="C4" s="5">
        <v>1200</v>
      </c>
      <c r="D4" s="5">
        <v>1200</v>
      </c>
      <c r="E4" s="5">
        <v>1200</v>
      </c>
      <c r="F4" s="5">
        <v>1200</v>
      </c>
      <c r="G4" s="5">
        <v>1200</v>
      </c>
      <c r="H4" s="5">
        <v>1200</v>
      </c>
      <c r="I4" s="5">
        <v>1200</v>
      </c>
      <c r="J4" s="5">
        <v>1200</v>
      </c>
      <c r="K4" s="5">
        <v>1200</v>
      </c>
      <c r="L4" s="5">
        <v>1200</v>
      </c>
      <c r="M4" s="5">
        <v>1200</v>
      </c>
      <c r="P4" s="5">
        <v>1299</v>
      </c>
      <c r="Q4" s="5">
        <v>1350</v>
      </c>
    </row>
    <row r="5" spans="1:17" x14ac:dyDescent="0.3">
      <c r="A5" t="s">
        <v>110</v>
      </c>
      <c r="B5" s="5">
        <v>1250</v>
      </c>
      <c r="C5" s="5">
        <v>1499</v>
      </c>
      <c r="D5" s="5">
        <v>1499</v>
      </c>
      <c r="E5" s="5">
        <v>1499</v>
      </c>
      <c r="F5" s="5">
        <v>1499</v>
      </c>
      <c r="G5" s="5">
        <v>1499</v>
      </c>
      <c r="H5" s="5">
        <v>1499</v>
      </c>
      <c r="I5" s="5">
        <v>1499</v>
      </c>
      <c r="J5" s="5">
        <v>1250</v>
      </c>
      <c r="K5" s="5">
        <v>1499</v>
      </c>
      <c r="L5" s="5">
        <v>1499</v>
      </c>
      <c r="M5" s="5">
        <v>1499</v>
      </c>
      <c r="P5" s="5">
        <v>1599</v>
      </c>
      <c r="Q5" s="5">
        <v>1650</v>
      </c>
    </row>
    <row r="8" spans="1:17" x14ac:dyDescent="0.3">
      <c r="A8" t="s">
        <v>130</v>
      </c>
      <c r="B8">
        <f>B3*31</f>
        <v>38750</v>
      </c>
      <c r="C8">
        <f>C3*28</f>
        <v>41972</v>
      </c>
      <c r="D8">
        <f>D3*31</f>
        <v>46469</v>
      </c>
      <c r="E8">
        <f>E3*30</f>
        <v>44970</v>
      </c>
      <c r="F8">
        <f>F3*31</f>
        <v>46469</v>
      </c>
      <c r="G8">
        <f>G3*30</f>
        <v>44970</v>
      </c>
      <c r="H8">
        <f>H3*31</f>
        <v>46469</v>
      </c>
      <c r="I8">
        <f>I3*31</f>
        <v>46469</v>
      </c>
      <c r="J8">
        <f>J3*30</f>
        <v>37500</v>
      </c>
      <c r="K8">
        <f>K3*31</f>
        <v>46469</v>
      </c>
      <c r="L8">
        <f>L3*30</f>
        <v>44970</v>
      </c>
      <c r="M8">
        <f>M3*31</f>
        <v>46469</v>
      </c>
      <c r="O8">
        <f>SUM(B8:M8)</f>
        <v>531946</v>
      </c>
      <c r="P8">
        <f t="shared" ref="P8:Q10" si="0">P3*365</f>
        <v>583635</v>
      </c>
      <c r="Q8">
        <f t="shared" si="0"/>
        <v>602250</v>
      </c>
    </row>
    <row r="9" spans="1:17" x14ac:dyDescent="0.3">
      <c r="A9" t="s">
        <v>131</v>
      </c>
      <c r="B9">
        <f>B4*31</f>
        <v>34069</v>
      </c>
      <c r="C9">
        <f>C4*28</f>
        <v>33600</v>
      </c>
      <c r="D9">
        <f>D4*31</f>
        <v>37200</v>
      </c>
      <c r="E9">
        <f>E4*30</f>
        <v>36000</v>
      </c>
      <c r="F9">
        <f>F4*31</f>
        <v>37200</v>
      </c>
      <c r="G9">
        <f>G4*30</f>
        <v>36000</v>
      </c>
      <c r="H9">
        <f>H4*31</f>
        <v>37200</v>
      </c>
      <c r="I9">
        <f>I4*30</f>
        <v>36000</v>
      </c>
      <c r="J9">
        <f>J4*30</f>
        <v>36000</v>
      </c>
      <c r="K9">
        <f>K4*31</f>
        <v>37200</v>
      </c>
      <c r="L9">
        <f>L4*30</f>
        <v>36000</v>
      </c>
      <c r="M9">
        <f>M4*31</f>
        <v>37200</v>
      </c>
      <c r="O9">
        <f>SUM(B9:M9)</f>
        <v>433669</v>
      </c>
      <c r="P9">
        <f t="shared" si="0"/>
        <v>474135</v>
      </c>
      <c r="Q9">
        <f t="shared" si="0"/>
        <v>492750</v>
      </c>
    </row>
    <row r="10" spans="1:17" x14ac:dyDescent="0.3">
      <c r="A10" t="s">
        <v>132</v>
      </c>
      <c r="B10">
        <f>B5*31</f>
        <v>38750</v>
      </c>
      <c r="C10">
        <f>C5*28</f>
        <v>41972</v>
      </c>
      <c r="D10">
        <f>D5*31</f>
        <v>46469</v>
      </c>
      <c r="E10">
        <f>E5*30</f>
        <v>44970</v>
      </c>
      <c r="F10">
        <f>F5*31</f>
        <v>46469</v>
      </c>
      <c r="G10">
        <f>G5*30</f>
        <v>44970</v>
      </c>
      <c r="H10">
        <f>H5*31</f>
        <v>46469</v>
      </c>
      <c r="I10">
        <f>I5*31</f>
        <v>46469</v>
      </c>
      <c r="J10">
        <f>J5*30</f>
        <v>37500</v>
      </c>
      <c r="K10">
        <f>K5*31</f>
        <v>46469</v>
      </c>
      <c r="L10">
        <f>L5*30</f>
        <v>44970</v>
      </c>
      <c r="M10">
        <f>M5*31</f>
        <v>46469</v>
      </c>
      <c r="O10">
        <f>SUM(B10:M10)</f>
        <v>531946</v>
      </c>
      <c r="P10">
        <f t="shared" si="0"/>
        <v>583635</v>
      </c>
      <c r="Q10">
        <f t="shared" si="0"/>
        <v>602250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1058-9234-4368-AB44-AC8F1DA92D40}">
  <dimension ref="A1:N24"/>
  <sheetViews>
    <sheetView workbookViewId="0">
      <selection sqref="A1:N24"/>
    </sheetView>
  </sheetViews>
  <sheetFormatPr defaultRowHeight="14.4" x14ac:dyDescent="0.3"/>
  <cols>
    <col min="1" max="1" width="36.33203125" bestFit="1" customWidth="1"/>
  </cols>
  <sheetData>
    <row r="1" spans="1:14" x14ac:dyDescent="0.3">
      <c r="A1" t="s">
        <v>133</v>
      </c>
      <c r="B1" t="s">
        <v>140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</row>
    <row r="3" spans="1:14" x14ac:dyDescent="0.3">
      <c r="A3" t="s">
        <v>0</v>
      </c>
    </row>
    <row r="4" spans="1:14" x14ac:dyDescent="0.3">
      <c r="A4" t="s">
        <v>141</v>
      </c>
      <c r="C4">
        <v>500</v>
      </c>
      <c r="D4">
        <v>500</v>
      </c>
      <c r="E4">
        <v>500</v>
      </c>
      <c r="F4">
        <v>500</v>
      </c>
      <c r="G4">
        <v>500</v>
      </c>
      <c r="H4">
        <v>500</v>
      </c>
      <c r="I4">
        <v>500</v>
      </c>
      <c r="J4">
        <v>500</v>
      </c>
      <c r="K4">
        <v>500</v>
      </c>
      <c r="L4">
        <v>500</v>
      </c>
      <c r="M4">
        <v>500</v>
      </c>
      <c r="N4">
        <v>500</v>
      </c>
    </row>
    <row r="5" spans="1:14" x14ac:dyDescent="0.3">
      <c r="A5" t="s">
        <v>142</v>
      </c>
      <c r="C5">
        <v>650</v>
      </c>
      <c r="D5">
        <v>650</v>
      </c>
      <c r="E5">
        <v>650</v>
      </c>
      <c r="F5">
        <v>650</v>
      </c>
      <c r="G5">
        <v>650</v>
      </c>
      <c r="H5">
        <v>650</v>
      </c>
      <c r="I5">
        <v>650</v>
      </c>
      <c r="J5">
        <v>650</v>
      </c>
      <c r="K5">
        <v>650</v>
      </c>
      <c r="L5">
        <v>650</v>
      </c>
      <c r="M5">
        <v>650</v>
      </c>
      <c r="N5">
        <v>650</v>
      </c>
    </row>
    <row r="6" spans="1:14" x14ac:dyDescent="0.3">
      <c r="A6" t="s">
        <v>143</v>
      </c>
      <c r="C6">
        <v>600</v>
      </c>
      <c r="D6">
        <v>600</v>
      </c>
      <c r="E6">
        <v>600</v>
      </c>
      <c r="F6">
        <v>600</v>
      </c>
      <c r="G6">
        <v>600</v>
      </c>
      <c r="H6">
        <v>600</v>
      </c>
      <c r="I6">
        <v>600</v>
      </c>
      <c r="J6">
        <v>600</v>
      </c>
      <c r="K6">
        <v>600</v>
      </c>
      <c r="L6">
        <v>600</v>
      </c>
      <c r="M6">
        <v>600</v>
      </c>
      <c r="N6">
        <v>600</v>
      </c>
    </row>
    <row r="8" spans="1:14" x14ac:dyDescent="0.3">
      <c r="A8" t="s">
        <v>144</v>
      </c>
      <c r="C8">
        <v>40</v>
      </c>
      <c r="D8">
        <v>40</v>
      </c>
      <c r="E8">
        <v>40</v>
      </c>
      <c r="F8">
        <v>40</v>
      </c>
      <c r="G8">
        <v>40</v>
      </c>
      <c r="H8">
        <v>40</v>
      </c>
      <c r="I8">
        <v>40</v>
      </c>
      <c r="J8">
        <v>40</v>
      </c>
      <c r="K8">
        <v>40</v>
      </c>
      <c r="L8">
        <v>40</v>
      </c>
      <c r="M8">
        <v>40</v>
      </c>
      <c r="N8">
        <v>40</v>
      </c>
    </row>
    <row r="9" spans="1:14" x14ac:dyDescent="0.3">
      <c r="A9" t="s">
        <v>145</v>
      </c>
      <c r="C9">
        <v>58</v>
      </c>
      <c r="D9">
        <v>58</v>
      </c>
      <c r="E9">
        <v>58</v>
      </c>
      <c r="F9">
        <v>58</v>
      </c>
      <c r="G9">
        <v>58</v>
      </c>
      <c r="H9">
        <v>58</v>
      </c>
      <c r="I9">
        <v>58</v>
      </c>
      <c r="J9">
        <v>58</v>
      </c>
      <c r="K9">
        <v>58</v>
      </c>
      <c r="L9">
        <v>58</v>
      </c>
      <c r="M9">
        <v>58</v>
      </c>
      <c r="N9">
        <v>58</v>
      </c>
    </row>
    <row r="10" spans="1:14" x14ac:dyDescent="0.3">
      <c r="A10" t="s">
        <v>146</v>
      </c>
      <c r="C10">
        <v>75</v>
      </c>
      <c r="D10">
        <v>75</v>
      </c>
      <c r="E10">
        <v>75</v>
      </c>
      <c r="F10">
        <v>75</v>
      </c>
      <c r="G10">
        <v>75</v>
      </c>
      <c r="H10">
        <v>75</v>
      </c>
      <c r="I10">
        <v>75</v>
      </c>
      <c r="J10">
        <v>75</v>
      </c>
      <c r="K10">
        <v>75</v>
      </c>
      <c r="L10">
        <v>75</v>
      </c>
      <c r="M10">
        <v>75</v>
      </c>
      <c r="N10">
        <v>75</v>
      </c>
    </row>
    <row r="11" spans="1:14" x14ac:dyDescent="0.3">
      <c r="A11" t="s">
        <v>134</v>
      </c>
      <c r="B11">
        <v>2</v>
      </c>
    </row>
    <row r="13" spans="1:14" x14ac:dyDescent="0.3">
      <c r="A13" t="s">
        <v>147</v>
      </c>
      <c r="C13">
        <v>50</v>
      </c>
    </row>
    <row r="14" spans="1:14" x14ac:dyDescent="0.3">
      <c r="A14" t="s">
        <v>148</v>
      </c>
      <c r="C14">
        <v>75</v>
      </c>
    </row>
    <row r="15" spans="1:14" x14ac:dyDescent="0.3">
      <c r="A15" t="s">
        <v>149</v>
      </c>
      <c r="C15">
        <v>150</v>
      </c>
    </row>
    <row r="16" spans="1:14" x14ac:dyDescent="0.3">
      <c r="C16" t="s">
        <v>150</v>
      </c>
    </row>
    <row r="17" spans="1:3" x14ac:dyDescent="0.3">
      <c r="A17" t="s">
        <v>136</v>
      </c>
      <c r="C17">
        <v>875</v>
      </c>
    </row>
    <row r="18" spans="1:3" x14ac:dyDescent="0.3">
      <c r="A18" t="s">
        <v>135</v>
      </c>
      <c r="C18">
        <v>175</v>
      </c>
    </row>
    <row r="20" spans="1:3" x14ac:dyDescent="0.3">
      <c r="A20" t="s">
        <v>137</v>
      </c>
      <c r="C20">
        <v>700</v>
      </c>
    </row>
    <row r="23" spans="1:3" x14ac:dyDescent="0.3">
      <c r="A23" t="s">
        <v>138</v>
      </c>
      <c r="C23">
        <v>290</v>
      </c>
    </row>
    <row r="24" spans="1:3" x14ac:dyDescent="0.3">
      <c r="A24" t="s">
        <v>139</v>
      </c>
      <c r="C24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CF04-4683-42E1-973B-FD82ADD4C3AC}">
  <dimension ref="A1:Q48"/>
  <sheetViews>
    <sheetView topLeftCell="A25" workbookViewId="0">
      <selection activeCell="C18" sqref="C18"/>
    </sheetView>
  </sheetViews>
  <sheetFormatPr defaultRowHeight="14.4" x14ac:dyDescent="0.3"/>
  <cols>
    <col min="1" max="1" width="31.21875" bestFit="1" customWidth="1"/>
  </cols>
  <sheetData>
    <row r="1" spans="1:17" x14ac:dyDescent="0.3">
      <c r="B1" t="str">
        <f>'Customer Acquisition'!C1</f>
        <v>Jan</v>
      </c>
      <c r="C1" t="str">
        <f>'Customer Acquisition'!D1</f>
        <v>Feb</v>
      </c>
      <c r="D1" t="str">
        <f>'Customer Acquisition'!E1</f>
        <v>Mar</v>
      </c>
      <c r="E1" t="str">
        <f>'Customer Acquisition'!F1</f>
        <v>Apr</v>
      </c>
      <c r="F1" t="str">
        <f>'Customer Acquisition'!G1</f>
        <v>May</v>
      </c>
      <c r="G1" t="str">
        <f>'Customer Acquisition'!H1</f>
        <v>Jun</v>
      </c>
      <c r="H1" t="str">
        <f>'Customer Acquisition'!I1</f>
        <v>July</v>
      </c>
      <c r="I1" t="str">
        <f>'Customer Acquisition'!J1</f>
        <v>Aug</v>
      </c>
      <c r="J1" t="str">
        <f>'Customer Acquisition'!K1</f>
        <v>Sep</v>
      </c>
      <c r="K1" t="str">
        <f>'Customer Acquisition'!L1</f>
        <v>Oct</v>
      </c>
      <c r="L1" t="str">
        <f>'Customer Acquisition'!M1</f>
        <v>Nov</v>
      </c>
      <c r="M1" t="str">
        <f>'Customer Acquisition'!N1</f>
        <v>Dec</v>
      </c>
      <c r="O1" t="s">
        <v>171</v>
      </c>
      <c r="P1" t="s">
        <v>172</v>
      </c>
      <c r="Q1" t="s">
        <v>173</v>
      </c>
    </row>
    <row r="2" spans="1:17" x14ac:dyDescent="0.3">
      <c r="A2" t="s">
        <v>154</v>
      </c>
      <c r="B2">
        <f>'Customer Acquisition'!C8</f>
        <v>40</v>
      </c>
      <c r="C2">
        <f>'Customer Acquisition'!D8</f>
        <v>40</v>
      </c>
      <c r="D2">
        <f>'Customer Acquisition'!E8</f>
        <v>40</v>
      </c>
      <c r="E2">
        <f>'Customer Acquisition'!F8</f>
        <v>40</v>
      </c>
      <c r="F2">
        <f>'Customer Acquisition'!G8</f>
        <v>40</v>
      </c>
      <c r="G2">
        <f>'Customer Acquisition'!H8</f>
        <v>40</v>
      </c>
      <c r="H2">
        <f>'Customer Acquisition'!I8</f>
        <v>40</v>
      </c>
      <c r="I2">
        <f>'Customer Acquisition'!J8</f>
        <v>40</v>
      </c>
      <c r="J2">
        <f>'Customer Acquisition'!K8</f>
        <v>40</v>
      </c>
      <c r="K2">
        <f>'Customer Acquisition'!L8</f>
        <v>40</v>
      </c>
      <c r="L2">
        <f>'Customer Acquisition'!M8</f>
        <v>40</v>
      </c>
      <c r="M2">
        <f>'Customer Acquisition'!N8</f>
        <v>40</v>
      </c>
      <c r="O2">
        <v>40</v>
      </c>
    </row>
    <row r="3" spans="1:17" x14ac:dyDescent="0.3">
      <c r="A3" t="s">
        <v>158</v>
      </c>
      <c r="B3">
        <f>$B$19*B2</f>
        <v>59960</v>
      </c>
      <c r="C3">
        <f t="shared" ref="C3:M3" si="0">$B$19*C2</f>
        <v>59960</v>
      </c>
      <c r="D3">
        <f t="shared" si="0"/>
        <v>59960</v>
      </c>
      <c r="E3">
        <f t="shared" si="0"/>
        <v>59960</v>
      </c>
      <c r="F3">
        <f t="shared" si="0"/>
        <v>59960</v>
      </c>
      <c r="G3">
        <f t="shared" si="0"/>
        <v>59960</v>
      </c>
      <c r="H3">
        <f t="shared" si="0"/>
        <v>59960</v>
      </c>
      <c r="I3">
        <f t="shared" si="0"/>
        <v>59960</v>
      </c>
      <c r="J3">
        <f t="shared" si="0"/>
        <v>59960</v>
      </c>
      <c r="K3">
        <f t="shared" si="0"/>
        <v>59960</v>
      </c>
      <c r="L3">
        <f t="shared" si="0"/>
        <v>59960</v>
      </c>
      <c r="M3">
        <f t="shared" si="0"/>
        <v>59960</v>
      </c>
      <c r="O3">
        <f>O2*1499</f>
        <v>59960</v>
      </c>
    </row>
    <row r="4" spans="1:17" x14ac:dyDescent="0.3">
      <c r="A4" t="s">
        <v>161</v>
      </c>
      <c r="B4">
        <f>$F$28</f>
        <v>32000</v>
      </c>
      <c r="C4">
        <f t="shared" ref="C4:M4" si="1">$F$28</f>
        <v>32000</v>
      </c>
      <c r="D4">
        <f t="shared" si="1"/>
        <v>32000</v>
      </c>
      <c r="E4">
        <f t="shared" si="1"/>
        <v>32000</v>
      </c>
      <c r="F4">
        <f t="shared" si="1"/>
        <v>32000</v>
      </c>
      <c r="G4">
        <f t="shared" si="1"/>
        <v>32000</v>
      </c>
      <c r="H4">
        <f t="shared" si="1"/>
        <v>32000</v>
      </c>
      <c r="I4">
        <f t="shared" si="1"/>
        <v>32000</v>
      </c>
      <c r="J4">
        <f t="shared" si="1"/>
        <v>32000</v>
      </c>
      <c r="K4">
        <f t="shared" si="1"/>
        <v>32000</v>
      </c>
      <c r="L4">
        <f t="shared" si="1"/>
        <v>32000</v>
      </c>
      <c r="M4">
        <f t="shared" si="1"/>
        <v>32000</v>
      </c>
      <c r="O4">
        <f>SUM(B4:M4)</f>
        <v>384000</v>
      </c>
    </row>
    <row r="5" spans="1:17" x14ac:dyDescent="0.3">
      <c r="A5" t="s">
        <v>152</v>
      </c>
      <c r="B5">
        <v>15000</v>
      </c>
      <c r="J5">
        <v>15000</v>
      </c>
    </row>
    <row r="6" spans="1:17" x14ac:dyDescent="0.3">
      <c r="A6" t="s">
        <v>174</v>
      </c>
      <c r="B6">
        <v>5000</v>
      </c>
      <c r="C6">
        <v>5000</v>
      </c>
      <c r="D6">
        <v>5000</v>
      </c>
      <c r="E6">
        <v>5000</v>
      </c>
      <c r="F6">
        <v>5000</v>
      </c>
      <c r="G6">
        <v>5000</v>
      </c>
      <c r="H6">
        <v>5000</v>
      </c>
      <c r="I6">
        <v>5000</v>
      </c>
      <c r="J6">
        <v>5000</v>
      </c>
      <c r="K6">
        <v>5000</v>
      </c>
      <c r="L6">
        <v>5000</v>
      </c>
      <c r="M6">
        <v>5000</v>
      </c>
    </row>
    <row r="7" spans="1:17" x14ac:dyDescent="0.3">
      <c r="B7">
        <f>SUM(B3:B6)</f>
        <v>111960</v>
      </c>
      <c r="C7">
        <f t="shared" ref="C7:M7" si="2">SUM(C3:C6)</f>
        <v>96960</v>
      </c>
      <c r="D7">
        <f t="shared" si="2"/>
        <v>96960</v>
      </c>
      <c r="E7">
        <f t="shared" si="2"/>
        <v>96960</v>
      </c>
      <c r="F7">
        <f t="shared" si="2"/>
        <v>96960</v>
      </c>
      <c r="G7">
        <f t="shared" si="2"/>
        <v>96960</v>
      </c>
      <c r="H7">
        <f t="shared" si="2"/>
        <v>96960</v>
      </c>
      <c r="I7">
        <f t="shared" si="2"/>
        <v>96960</v>
      </c>
      <c r="J7">
        <f t="shared" si="2"/>
        <v>111960</v>
      </c>
      <c r="K7">
        <f t="shared" si="2"/>
        <v>96960</v>
      </c>
      <c r="L7">
        <f t="shared" si="2"/>
        <v>96960</v>
      </c>
      <c r="M7">
        <f t="shared" si="2"/>
        <v>96960</v>
      </c>
    </row>
    <row r="9" spans="1:17" x14ac:dyDescent="0.3">
      <c r="A9" t="s">
        <v>152</v>
      </c>
    </row>
    <row r="10" spans="1:17" x14ac:dyDescent="0.3">
      <c r="A10" t="s">
        <v>102</v>
      </c>
      <c r="B10" s="16">
        <f>Cost!B28</f>
        <v>21500</v>
      </c>
    </row>
    <row r="11" spans="1:17" x14ac:dyDescent="0.3">
      <c r="A11" t="s">
        <v>81</v>
      </c>
      <c r="B11" s="16">
        <f>Cost!B27</f>
        <v>15000</v>
      </c>
      <c r="J11" s="16">
        <f>Cost!B27</f>
        <v>15000</v>
      </c>
    </row>
    <row r="12" spans="1:17" x14ac:dyDescent="0.3">
      <c r="B12" s="16">
        <f>B10+B11</f>
        <v>36500</v>
      </c>
    </row>
    <row r="18" spans="1:8" x14ac:dyDescent="0.3">
      <c r="A18" t="s">
        <v>157</v>
      </c>
    </row>
    <row r="19" spans="1:8" x14ac:dyDescent="0.3">
      <c r="A19" t="s">
        <v>83</v>
      </c>
      <c r="B19">
        <v>1499</v>
      </c>
    </row>
    <row r="20" spans="1:8" x14ac:dyDescent="0.3">
      <c r="A20" t="s">
        <v>3</v>
      </c>
      <c r="B20">
        <v>1199</v>
      </c>
    </row>
    <row r="21" spans="1:8" x14ac:dyDescent="0.3">
      <c r="A21" t="s">
        <v>153</v>
      </c>
      <c r="B21">
        <v>1499</v>
      </c>
    </row>
    <row r="25" spans="1:8" x14ac:dyDescent="0.3">
      <c r="A25" t="s">
        <v>151</v>
      </c>
    </row>
    <row r="26" spans="1:8" x14ac:dyDescent="0.3">
      <c r="A26" s="15" t="s">
        <v>82</v>
      </c>
      <c r="B26" s="15" t="s">
        <v>83</v>
      </c>
      <c r="C26" s="15" t="s">
        <v>3</v>
      </c>
      <c r="D26" s="15" t="s">
        <v>85</v>
      </c>
      <c r="F26" s="15" t="s">
        <v>164</v>
      </c>
      <c r="G26" s="15" t="s">
        <v>3</v>
      </c>
      <c r="H26" s="15" t="s">
        <v>85</v>
      </c>
    </row>
    <row r="27" spans="1:8" x14ac:dyDescent="0.3">
      <c r="A27" t="s">
        <v>86</v>
      </c>
      <c r="B27">
        <v>40</v>
      </c>
      <c r="C27">
        <v>58</v>
      </c>
      <c r="D27">
        <v>75</v>
      </c>
    </row>
    <row r="28" spans="1:8" x14ac:dyDescent="0.3">
      <c r="A28" t="s">
        <v>95</v>
      </c>
      <c r="B28">
        <v>6</v>
      </c>
      <c r="C28">
        <v>9</v>
      </c>
      <c r="D28">
        <v>12</v>
      </c>
      <c r="F28">
        <f>F29+F30</f>
        <v>32000</v>
      </c>
      <c r="G28">
        <f>G29+G30</f>
        <v>48000</v>
      </c>
      <c r="H28">
        <f>H29+H30</f>
        <v>64000</v>
      </c>
    </row>
    <row r="29" spans="1:8" x14ac:dyDescent="0.3">
      <c r="A29" t="s">
        <v>96</v>
      </c>
      <c r="B29">
        <v>4</v>
      </c>
      <c r="C29">
        <v>6</v>
      </c>
      <c r="D29">
        <v>8</v>
      </c>
      <c r="F29">
        <f t="shared" ref="F29:H30" si="3">B29*B33</f>
        <v>16000</v>
      </c>
      <c r="G29">
        <f t="shared" si="3"/>
        <v>24000</v>
      </c>
      <c r="H29">
        <f t="shared" si="3"/>
        <v>32000</v>
      </c>
    </row>
    <row r="30" spans="1:8" x14ac:dyDescent="0.3">
      <c r="A30" t="s">
        <v>97</v>
      </c>
      <c r="B30">
        <v>2</v>
      </c>
      <c r="C30">
        <v>3</v>
      </c>
      <c r="D30">
        <v>4</v>
      </c>
      <c r="F30">
        <f t="shared" si="3"/>
        <v>16000</v>
      </c>
      <c r="G30">
        <f t="shared" si="3"/>
        <v>24000</v>
      </c>
      <c r="H30">
        <f t="shared" si="3"/>
        <v>32000</v>
      </c>
    </row>
    <row r="32" spans="1:8" x14ac:dyDescent="0.3">
      <c r="A32" s="15" t="s">
        <v>87</v>
      </c>
    </row>
    <row r="33" spans="1:4" x14ac:dyDescent="0.3">
      <c r="A33" t="s">
        <v>126</v>
      </c>
      <c r="B33">
        <v>4000</v>
      </c>
      <c r="C33">
        <v>4000</v>
      </c>
      <c r="D33">
        <v>4000</v>
      </c>
    </row>
    <row r="34" spans="1:4" x14ac:dyDescent="0.3">
      <c r="A34" t="s">
        <v>127</v>
      </c>
      <c r="B34">
        <v>8000</v>
      </c>
      <c r="C34">
        <v>8000</v>
      </c>
      <c r="D34">
        <v>8000</v>
      </c>
    </row>
    <row r="36" spans="1:4" x14ac:dyDescent="0.3">
      <c r="A36" s="15" t="s">
        <v>88</v>
      </c>
    </row>
    <row r="37" spans="1:4" x14ac:dyDescent="0.3">
      <c r="A37" t="s">
        <v>129</v>
      </c>
      <c r="B37">
        <f>B33*B29</f>
        <v>16000</v>
      </c>
      <c r="C37">
        <f t="shared" ref="C37:D38" si="4">C33*C29</f>
        <v>24000</v>
      </c>
      <c r="D37">
        <f t="shared" si="4"/>
        <v>32000</v>
      </c>
    </row>
    <row r="38" spans="1:4" x14ac:dyDescent="0.3">
      <c r="A38" t="s">
        <v>128</v>
      </c>
      <c r="B38">
        <f>B34*B30</f>
        <v>16000</v>
      </c>
      <c r="C38">
        <f t="shared" si="4"/>
        <v>24000</v>
      </c>
      <c r="D38">
        <f t="shared" si="4"/>
        <v>32000</v>
      </c>
    </row>
    <row r="40" spans="1:4" x14ac:dyDescent="0.3">
      <c r="A40" s="15" t="s">
        <v>125</v>
      </c>
      <c r="B40">
        <f>B38+B37</f>
        <v>32000</v>
      </c>
      <c r="C40">
        <f t="shared" ref="C40:D40" si="5">C38+C37</f>
        <v>48000</v>
      </c>
      <c r="D40">
        <f t="shared" si="5"/>
        <v>64000</v>
      </c>
    </row>
    <row r="43" spans="1:4" x14ac:dyDescent="0.3">
      <c r="A43" t="s">
        <v>81</v>
      </c>
      <c r="B43" t="s">
        <v>169</v>
      </c>
      <c r="C43" t="s">
        <v>170</v>
      </c>
    </row>
    <row r="44" spans="1:4" x14ac:dyDescent="0.3">
      <c r="A44" t="s">
        <v>165</v>
      </c>
      <c r="B44">
        <v>8000</v>
      </c>
      <c r="C44">
        <v>10000</v>
      </c>
      <c r="D44">
        <v>8000</v>
      </c>
    </row>
    <row r="45" spans="1:4" x14ac:dyDescent="0.3">
      <c r="A45" t="s">
        <v>166</v>
      </c>
      <c r="B45">
        <v>2000</v>
      </c>
      <c r="C45">
        <v>4000</v>
      </c>
      <c r="D45">
        <v>2000</v>
      </c>
    </row>
    <row r="46" spans="1:4" x14ac:dyDescent="0.3">
      <c r="A46" t="s">
        <v>167</v>
      </c>
      <c r="B46">
        <v>1500</v>
      </c>
      <c r="C46">
        <v>2000</v>
      </c>
      <c r="D46">
        <v>1500</v>
      </c>
    </row>
    <row r="47" spans="1:4" x14ac:dyDescent="0.3">
      <c r="A47" t="s">
        <v>168</v>
      </c>
      <c r="B47">
        <v>2000</v>
      </c>
      <c r="C47">
        <v>2000</v>
      </c>
      <c r="D47">
        <v>2000</v>
      </c>
    </row>
    <row r="48" spans="1:4" x14ac:dyDescent="0.3">
      <c r="B48">
        <f>SUM(B44:B47)</f>
        <v>13500</v>
      </c>
      <c r="C48">
        <f>SUM(C44:C47)</f>
        <v>18000</v>
      </c>
      <c r="D48">
        <f>SUM(D44:D47)</f>
        <v>13500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B1AC-68FE-46D1-AEDA-AC70FDCB39B6}">
  <dimension ref="A1:Q36"/>
  <sheetViews>
    <sheetView workbookViewId="0">
      <selection sqref="A1:O17"/>
    </sheetView>
  </sheetViews>
  <sheetFormatPr defaultRowHeight="14.4" x14ac:dyDescent="0.3"/>
  <cols>
    <col min="1" max="1" width="31.21875" bestFit="1" customWidth="1"/>
  </cols>
  <sheetData>
    <row r="1" spans="1:17" x14ac:dyDescent="0.3">
      <c r="B1" t="str">
        <f>'Expenses Newbustand'!B1</f>
        <v>Jan</v>
      </c>
      <c r="C1" t="str">
        <f>'Expenses Newbustand'!C1</f>
        <v>Feb</v>
      </c>
      <c r="D1" t="str">
        <f>'Expenses Newbustand'!D1</f>
        <v>Mar</v>
      </c>
      <c r="E1" t="str">
        <f>'Expenses Newbustand'!E1</f>
        <v>Apr</v>
      </c>
      <c r="F1" t="str">
        <f>'Expenses Newbustand'!F1</f>
        <v>May</v>
      </c>
      <c r="G1" t="str">
        <f>'Expenses Newbustand'!G1</f>
        <v>Jun</v>
      </c>
      <c r="H1" t="str">
        <f>'Expenses Newbustand'!H1</f>
        <v>July</v>
      </c>
      <c r="I1" t="str">
        <f>'Expenses Newbustand'!I1</f>
        <v>Aug</v>
      </c>
      <c r="J1" t="str">
        <f>'Expenses Newbustand'!J1</f>
        <v>Sep</v>
      </c>
      <c r="K1" t="str">
        <f>'Expenses Newbustand'!K1</f>
        <v>Oct</v>
      </c>
      <c r="L1" t="str">
        <f>'Expenses Newbustand'!L1</f>
        <v>Nov</v>
      </c>
      <c r="M1" t="str">
        <f>'Expenses Newbustand'!M1</f>
        <v>Dec</v>
      </c>
      <c r="O1" t="s">
        <v>171</v>
      </c>
      <c r="P1" t="s">
        <v>172</v>
      </c>
      <c r="Q1" t="s">
        <v>173</v>
      </c>
    </row>
    <row r="2" spans="1:17" x14ac:dyDescent="0.3">
      <c r="A2" t="s">
        <v>155</v>
      </c>
      <c r="B2">
        <f>'Customer Acquisition'!C9</f>
        <v>58</v>
      </c>
      <c r="C2">
        <f>'Customer Acquisition'!D9</f>
        <v>58</v>
      </c>
      <c r="D2">
        <f>'Customer Acquisition'!E9</f>
        <v>58</v>
      </c>
      <c r="E2">
        <f>'Customer Acquisition'!F9</f>
        <v>58</v>
      </c>
      <c r="F2">
        <f>'Customer Acquisition'!G9</f>
        <v>58</v>
      </c>
      <c r="G2">
        <f>'Customer Acquisition'!H9</f>
        <v>58</v>
      </c>
      <c r="H2">
        <f>'Customer Acquisition'!I9</f>
        <v>58</v>
      </c>
      <c r="I2">
        <f>'Customer Acquisition'!J9</f>
        <v>58</v>
      </c>
      <c r="J2">
        <f>'Customer Acquisition'!K9</f>
        <v>58</v>
      </c>
      <c r="K2">
        <f>'Customer Acquisition'!L9</f>
        <v>58</v>
      </c>
      <c r="L2">
        <f>'Customer Acquisition'!M9</f>
        <v>58</v>
      </c>
      <c r="M2">
        <f>'Customer Acquisition'!N9</f>
        <v>58</v>
      </c>
      <c r="O2">
        <v>58</v>
      </c>
    </row>
    <row r="3" spans="1:17" x14ac:dyDescent="0.3">
      <c r="A3" t="s">
        <v>159</v>
      </c>
      <c r="B3">
        <f>$B$16*B2</f>
        <v>69542</v>
      </c>
      <c r="C3">
        <f t="shared" ref="C3:M3" si="0">$B$16*C2</f>
        <v>69542</v>
      </c>
      <c r="D3">
        <f t="shared" si="0"/>
        <v>69542</v>
      </c>
      <c r="E3">
        <f t="shared" si="0"/>
        <v>69542</v>
      </c>
      <c r="F3">
        <f t="shared" si="0"/>
        <v>69542</v>
      </c>
      <c r="G3">
        <f t="shared" si="0"/>
        <v>69542</v>
      </c>
      <c r="H3">
        <f t="shared" si="0"/>
        <v>69542</v>
      </c>
      <c r="I3">
        <f t="shared" si="0"/>
        <v>69542</v>
      </c>
      <c r="J3">
        <f t="shared" si="0"/>
        <v>69542</v>
      </c>
      <c r="K3">
        <f t="shared" si="0"/>
        <v>69542</v>
      </c>
      <c r="L3">
        <f t="shared" si="0"/>
        <v>69542</v>
      </c>
      <c r="M3">
        <f t="shared" si="0"/>
        <v>69542</v>
      </c>
      <c r="O3">
        <f>58*1199</f>
        <v>69542</v>
      </c>
    </row>
    <row r="4" spans="1:17" x14ac:dyDescent="0.3">
      <c r="A4" t="s">
        <v>162</v>
      </c>
      <c r="B4">
        <f>'Expenses Newbustand'!$G$28</f>
        <v>48000</v>
      </c>
      <c r="C4">
        <f>'Expenses Newbustand'!$G$28</f>
        <v>48000</v>
      </c>
      <c r="D4">
        <f>'Expenses Newbustand'!$G$28</f>
        <v>48000</v>
      </c>
      <c r="E4">
        <f>'Expenses Newbustand'!$G$28</f>
        <v>48000</v>
      </c>
      <c r="F4">
        <f>'Expenses Newbustand'!$G$28</f>
        <v>48000</v>
      </c>
      <c r="G4">
        <f>'Expenses Newbustand'!$G$28</f>
        <v>48000</v>
      </c>
      <c r="H4">
        <f>'Expenses Newbustand'!$G$28</f>
        <v>48000</v>
      </c>
      <c r="I4">
        <f>'Expenses Newbustand'!$G$28</f>
        <v>48000</v>
      </c>
      <c r="J4">
        <f>'Expenses Newbustand'!$G$28</f>
        <v>48000</v>
      </c>
      <c r="K4">
        <f>'Expenses Newbustand'!$G$28</f>
        <v>48000</v>
      </c>
      <c r="L4">
        <f>'Expenses Newbustand'!$G$28</f>
        <v>48000</v>
      </c>
      <c r="M4">
        <f>'Expenses Newbustand'!$G$28</f>
        <v>48000</v>
      </c>
      <c r="O4">
        <f>SUM(B4:M4)</f>
        <v>576000</v>
      </c>
    </row>
    <row r="5" spans="1:17" x14ac:dyDescent="0.3">
      <c r="A5" t="s">
        <v>152</v>
      </c>
      <c r="B5">
        <v>20000</v>
      </c>
      <c r="J5">
        <v>20000</v>
      </c>
    </row>
    <row r="6" spans="1:17" x14ac:dyDescent="0.3">
      <c r="A6" t="s">
        <v>174</v>
      </c>
      <c r="B6">
        <v>5000</v>
      </c>
      <c r="C6">
        <v>5000</v>
      </c>
      <c r="D6">
        <v>5000</v>
      </c>
      <c r="E6">
        <v>5000</v>
      </c>
      <c r="F6">
        <v>5000</v>
      </c>
      <c r="G6">
        <v>5000</v>
      </c>
      <c r="H6">
        <v>5000</v>
      </c>
      <c r="I6">
        <v>5000</v>
      </c>
      <c r="J6">
        <v>5000</v>
      </c>
      <c r="K6">
        <v>5000</v>
      </c>
      <c r="L6">
        <v>5000</v>
      </c>
      <c r="M6">
        <v>5000</v>
      </c>
    </row>
    <row r="7" spans="1:17" x14ac:dyDescent="0.3">
      <c r="B7">
        <f>SUM(B3:B6)</f>
        <v>142542</v>
      </c>
      <c r="C7">
        <f t="shared" ref="C7:M7" si="1">SUM(C3:C6)</f>
        <v>122542</v>
      </c>
      <c r="D7">
        <f t="shared" si="1"/>
        <v>122542</v>
      </c>
      <c r="E7">
        <f t="shared" si="1"/>
        <v>122542</v>
      </c>
      <c r="F7">
        <f t="shared" si="1"/>
        <v>122542</v>
      </c>
      <c r="G7">
        <f t="shared" si="1"/>
        <v>122542</v>
      </c>
      <c r="H7">
        <f t="shared" si="1"/>
        <v>122542</v>
      </c>
      <c r="I7">
        <f t="shared" si="1"/>
        <v>122542</v>
      </c>
      <c r="J7">
        <f t="shared" si="1"/>
        <v>142542</v>
      </c>
      <c r="K7">
        <f t="shared" si="1"/>
        <v>122542</v>
      </c>
      <c r="L7">
        <f t="shared" si="1"/>
        <v>122542</v>
      </c>
      <c r="M7">
        <f t="shared" si="1"/>
        <v>122542</v>
      </c>
    </row>
    <row r="14" spans="1:17" x14ac:dyDescent="0.3">
      <c r="A14" t="s">
        <v>157</v>
      </c>
    </row>
    <row r="15" spans="1:17" x14ac:dyDescent="0.3">
      <c r="A15" t="s">
        <v>83</v>
      </c>
      <c r="B15">
        <v>1499</v>
      </c>
    </row>
    <row r="16" spans="1:17" x14ac:dyDescent="0.3">
      <c r="A16" t="s">
        <v>3</v>
      </c>
      <c r="B16">
        <v>1199</v>
      </c>
    </row>
    <row r="17" spans="1:4" x14ac:dyDescent="0.3">
      <c r="A17" t="s">
        <v>153</v>
      </c>
      <c r="B17">
        <v>1499</v>
      </c>
    </row>
    <row r="22" spans="1:4" x14ac:dyDescent="0.3">
      <c r="A22" s="15"/>
      <c r="B22" s="15"/>
      <c r="C22" s="15"/>
      <c r="D22" s="15"/>
    </row>
    <row r="28" spans="1:4" x14ac:dyDescent="0.3">
      <c r="A28" s="15"/>
    </row>
    <row r="32" spans="1:4" x14ac:dyDescent="0.3">
      <c r="A32" s="15"/>
    </row>
    <row r="36" spans="1:1" x14ac:dyDescent="0.3">
      <c r="A36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52107-E280-4CB3-9DD8-D79F2995CC6F}">
  <dimension ref="A1:Q35"/>
  <sheetViews>
    <sheetView workbookViewId="0">
      <selection sqref="A1:O16"/>
    </sheetView>
  </sheetViews>
  <sheetFormatPr defaultRowHeight="14.4" x14ac:dyDescent="0.3"/>
  <sheetData>
    <row r="1" spans="1:17" x14ac:dyDescent="0.3">
      <c r="B1" t="str">
        <f>'Customer Acquisition'!C1</f>
        <v>Jan</v>
      </c>
      <c r="C1" t="str">
        <f>'Customer Acquisition'!D1</f>
        <v>Feb</v>
      </c>
      <c r="D1" t="str">
        <f>'Customer Acquisition'!E1</f>
        <v>Mar</v>
      </c>
      <c r="E1" t="str">
        <f>'Customer Acquisition'!F1</f>
        <v>Apr</v>
      </c>
      <c r="F1" t="str">
        <f>'Customer Acquisition'!G1</f>
        <v>May</v>
      </c>
      <c r="G1" t="str">
        <f>'Customer Acquisition'!H1</f>
        <v>Jun</v>
      </c>
      <c r="H1" t="str">
        <f>'Customer Acquisition'!I1</f>
        <v>July</v>
      </c>
      <c r="I1" t="str">
        <f>'Customer Acquisition'!J1</f>
        <v>Aug</v>
      </c>
      <c r="J1" t="str">
        <f>'Customer Acquisition'!K1</f>
        <v>Sep</v>
      </c>
      <c r="K1" t="str">
        <f>'Customer Acquisition'!L1</f>
        <v>Oct</v>
      </c>
      <c r="L1" t="str">
        <f>'Customer Acquisition'!M1</f>
        <v>Nov</v>
      </c>
      <c r="M1" t="str">
        <f>'Customer Acquisition'!N1</f>
        <v>Dec</v>
      </c>
      <c r="O1" t="s">
        <v>171</v>
      </c>
      <c r="P1" t="s">
        <v>172</v>
      </c>
      <c r="Q1" t="s">
        <v>173</v>
      </c>
    </row>
    <row r="2" spans="1:17" x14ac:dyDescent="0.3">
      <c r="A2" t="s">
        <v>156</v>
      </c>
      <c r="B2">
        <f>'Customer Acquisition'!C10</f>
        <v>75</v>
      </c>
      <c r="C2">
        <f>'Customer Acquisition'!D10</f>
        <v>75</v>
      </c>
      <c r="D2">
        <f>'Customer Acquisition'!E10</f>
        <v>75</v>
      </c>
      <c r="E2">
        <f>'Customer Acquisition'!F10</f>
        <v>75</v>
      </c>
      <c r="F2">
        <f>'Customer Acquisition'!G10</f>
        <v>75</v>
      </c>
      <c r="G2">
        <f>'Customer Acquisition'!H10</f>
        <v>75</v>
      </c>
      <c r="H2">
        <f>'Customer Acquisition'!I10</f>
        <v>75</v>
      </c>
      <c r="I2">
        <f>'Customer Acquisition'!J10</f>
        <v>75</v>
      </c>
      <c r="J2">
        <f>'Customer Acquisition'!K10</f>
        <v>75</v>
      </c>
      <c r="K2">
        <f>'Customer Acquisition'!L10</f>
        <v>75</v>
      </c>
      <c r="L2">
        <f>'Customer Acquisition'!M10</f>
        <v>75</v>
      </c>
      <c r="M2">
        <f>'Customer Acquisition'!N10</f>
        <v>75</v>
      </c>
      <c r="O2">
        <v>75</v>
      </c>
    </row>
    <row r="3" spans="1:17" x14ac:dyDescent="0.3">
      <c r="A3" t="s">
        <v>160</v>
      </c>
      <c r="B3">
        <f>$B$16*B2</f>
        <v>112425</v>
      </c>
      <c r="C3">
        <f t="shared" ref="C3:M3" si="0">$B$16*C2</f>
        <v>112425</v>
      </c>
      <c r="D3">
        <f t="shared" si="0"/>
        <v>112425</v>
      </c>
      <c r="E3">
        <f t="shared" si="0"/>
        <v>112425</v>
      </c>
      <c r="F3">
        <f t="shared" si="0"/>
        <v>112425</v>
      </c>
      <c r="G3">
        <f t="shared" si="0"/>
        <v>112425</v>
      </c>
      <c r="H3">
        <f t="shared" si="0"/>
        <v>112425</v>
      </c>
      <c r="I3">
        <f t="shared" si="0"/>
        <v>112425</v>
      </c>
      <c r="J3">
        <f t="shared" si="0"/>
        <v>112425</v>
      </c>
      <c r="K3">
        <f t="shared" si="0"/>
        <v>112425</v>
      </c>
      <c r="L3">
        <f t="shared" si="0"/>
        <v>112425</v>
      </c>
      <c r="M3">
        <f t="shared" si="0"/>
        <v>112425</v>
      </c>
      <c r="O3">
        <f>75*1499</f>
        <v>112425</v>
      </c>
    </row>
    <row r="4" spans="1:17" x14ac:dyDescent="0.3">
      <c r="A4" t="s">
        <v>163</v>
      </c>
      <c r="B4">
        <f>'Expenses Newbustand'!$H$28</f>
        <v>64000</v>
      </c>
      <c r="C4">
        <f>'Expenses Newbustand'!$H$28</f>
        <v>64000</v>
      </c>
      <c r="D4">
        <f>'Expenses Newbustand'!$H$28</f>
        <v>64000</v>
      </c>
      <c r="E4">
        <f>'Expenses Newbustand'!$H$28</f>
        <v>64000</v>
      </c>
      <c r="F4">
        <f>'Expenses Newbustand'!$H$28</f>
        <v>64000</v>
      </c>
      <c r="G4">
        <f>'Expenses Newbustand'!$H$28</f>
        <v>64000</v>
      </c>
      <c r="H4">
        <f>'Expenses Newbustand'!$H$28</f>
        <v>64000</v>
      </c>
      <c r="I4">
        <f>'Expenses Newbustand'!$H$28</f>
        <v>64000</v>
      </c>
      <c r="J4">
        <f>'Expenses Newbustand'!$H$28</f>
        <v>64000</v>
      </c>
      <c r="K4">
        <f>'Expenses Newbustand'!$H$28</f>
        <v>64000</v>
      </c>
      <c r="L4">
        <f>'Expenses Newbustand'!$H$28</f>
        <v>64000</v>
      </c>
      <c r="M4">
        <f>'Expenses Newbustand'!$H$28</f>
        <v>64000</v>
      </c>
      <c r="O4">
        <f>SUM(B4:M4)</f>
        <v>768000</v>
      </c>
    </row>
    <row r="5" spans="1:17" x14ac:dyDescent="0.3">
      <c r="A5" t="s">
        <v>175</v>
      </c>
      <c r="B5">
        <v>15000</v>
      </c>
      <c r="J5">
        <v>15000</v>
      </c>
    </row>
    <row r="6" spans="1:17" x14ac:dyDescent="0.3">
      <c r="A6" t="s">
        <v>174</v>
      </c>
      <c r="B6">
        <v>10000</v>
      </c>
      <c r="C6">
        <v>10000</v>
      </c>
      <c r="D6">
        <v>10000</v>
      </c>
      <c r="E6">
        <v>10000</v>
      </c>
      <c r="F6">
        <v>10000</v>
      </c>
      <c r="G6">
        <v>10000</v>
      </c>
      <c r="H6">
        <v>10000</v>
      </c>
      <c r="I6">
        <v>10000</v>
      </c>
      <c r="J6">
        <v>10000</v>
      </c>
      <c r="K6">
        <v>10000</v>
      </c>
      <c r="L6">
        <v>10000</v>
      </c>
      <c r="M6">
        <v>10000</v>
      </c>
    </row>
    <row r="7" spans="1:17" x14ac:dyDescent="0.3">
      <c r="B7">
        <f>SUM(B3:B6)</f>
        <v>201425</v>
      </c>
      <c r="C7">
        <f t="shared" ref="C7:M7" si="1">SUM(C3:C6)</f>
        <v>186425</v>
      </c>
      <c r="D7">
        <f t="shared" si="1"/>
        <v>186425</v>
      </c>
      <c r="E7">
        <f t="shared" si="1"/>
        <v>186425</v>
      </c>
      <c r="F7">
        <f t="shared" si="1"/>
        <v>186425</v>
      </c>
      <c r="G7">
        <f t="shared" si="1"/>
        <v>186425</v>
      </c>
      <c r="H7">
        <f t="shared" si="1"/>
        <v>186425</v>
      </c>
      <c r="I7">
        <f t="shared" si="1"/>
        <v>186425</v>
      </c>
      <c r="J7">
        <f t="shared" si="1"/>
        <v>201425</v>
      </c>
      <c r="K7">
        <f t="shared" si="1"/>
        <v>186425</v>
      </c>
      <c r="L7">
        <f t="shared" si="1"/>
        <v>186425</v>
      </c>
      <c r="M7">
        <f t="shared" si="1"/>
        <v>186425</v>
      </c>
    </row>
    <row r="13" spans="1:17" x14ac:dyDescent="0.3">
      <c r="A13" t="s">
        <v>157</v>
      </c>
    </row>
    <row r="14" spans="1:17" x14ac:dyDescent="0.3">
      <c r="A14" t="s">
        <v>83</v>
      </c>
      <c r="B14">
        <v>1499</v>
      </c>
    </row>
    <row r="15" spans="1:17" x14ac:dyDescent="0.3">
      <c r="A15" t="s">
        <v>3</v>
      </c>
      <c r="B15">
        <v>1199</v>
      </c>
    </row>
    <row r="16" spans="1:17" x14ac:dyDescent="0.3">
      <c r="A16" t="s">
        <v>153</v>
      </c>
      <c r="B16">
        <v>1499</v>
      </c>
    </row>
    <row r="21" spans="1:4" x14ac:dyDescent="0.3">
      <c r="A21" s="15"/>
      <c r="B21" s="15"/>
      <c r="C21" s="15"/>
      <c r="D21" s="15"/>
    </row>
    <row r="27" spans="1:4" x14ac:dyDescent="0.3">
      <c r="A27" s="15"/>
    </row>
    <row r="31" spans="1:4" x14ac:dyDescent="0.3">
      <c r="A31" s="15"/>
    </row>
    <row r="35" spans="1:1" x14ac:dyDescent="0.3">
      <c r="A35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712D-0405-4AB2-BC82-485933AEC08C}">
  <dimension ref="A1:O47"/>
  <sheetViews>
    <sheetView topLeftCell="A15" workbookViewId="0">
      <selection activeCell="B17" sqref="B17"/>
    </sheetView>
  </sheetViews>
  <sheetFormatPr defaultRowHeight="14.4" x14ac:dyDescent="0.3"/>
  <cols>
    <col min="1" max="1" width="22.21875" bestFit="1" customWidth="1"/>
    <col min="2" max="2" width="11.5546875" bestFit="1" customWidth="1"/>
    <col min="3" max="3" width="11.21875" bestFit="1" customWidth="1"/>
    <col min="4" max="4" width="14.77734375" bestFit="1" customWidth="1"/>
    <col min="5" max="5" width="9.88671875" bestFit="1" customWidth="1"/>
    <col min="6" max="6" width="7.5546875" bestFit="1" customWidth="1"/>
    <col min="7" max="7" width="10.21875" bestFit="1" customWidth="1"/>
    <col min="8" max="8" width="19.21875" customWidth="1"/>
    <col min="9" max="9" width="11" bestFit="1" customWidth="1"/>
    <col min="10" max="10" width="10" bestFit="1" customWidth="1"/>
  </cols>
  <sheetData>
    <row r="1" spans="1:15" ht="72" x14ac:dyDescent="0.3">
      <c r="A1" t="s">
        <v>10</v>
      </c>
      <c r="B1" t="str">
        <f>location1</f>
        <v>New Bustand</v>
      </c>
      <c r="C1" t="str">
        <f>location2</f>
        <v>Palay Market</v>
      </c>
      <c r="D1" t="str">
        <f>location3</f>
        <v>Near Jose School</v>
      </c>
      <c r="H1" s="3" t="s">
        <v>180</v>
      </c>
      <c r="O1" t="s">
        <v>179</v>
      </c>
    </row>
    <row r="3" spans="1:15" x14ac:dyDescent="0.3">
      <c r="A3" t="s">
        <v>0</v>
      </c>
      <c r="G3" s="25" t="s">
        <v>19</v>
      </c>
      <c r="H3" s="25"/>
      <c r="I3" s="25"/>
    </row>
    <row r="4" spans="1:15" x14ac:dyDescent="0.3">
      <c r="A4" t="s">
        <v>11</v>
      </c>
      <c r="B4">
        <v>40</v>
      </c>
      <c r="C4">
        <v>58</v>
      </c>
      <c r="D4">
        <v>75</v>
      </c>
      <c r="G4" t="s">
        <v>15</v>
      </c>
      <c r="H4" s="3" t="s">
        <v>16</v>
      </c>
      <c r="I4" t="s">
        <v>17</v>
      </c>
    </row>
    <row r="5" spans="1:15" x14ac:dyDescent="0.3">
      <c r="A5" t="s">
        <v>12</v>
      </c>
      <c r="B5" s="5">
        <v>1499</v>
      </c>
      <c r="C5" s="5">
        <v>1199</v>
      </c>
      <c r="D5" s="5">
        <v>1499</v>
      </c>
      <c r="G5">
        <v>500</v>
      </c>
      <c r="H5">
        <v>500</v>
      </c>
      <c r="I5">
        <v>800</v>
      </c>
    </row>
    <row r="6" spans="1:15" x14ac:dyDescent="0.3">
      <c r="A6" t="s">
        <v>35</v>
      </c>
      <c r="B6" s="1" cm="1">
        <f t="array" ref="B6:D6">customer*Price</f>
        <v>59960</v>
      </c>
      <c r="C6" s="1">
        <v>69542</v>
      </c>
      <c r="D6" s="1">
        <v>112425</v>
      </c>
      <c r="H6" t="s">
        <v>29</v>
      </c>
    </row>
    <row r="7" spans="1:15" x14ac:dyDescent="0.3">
      <c r="A7" t="s">
        <v>36</v>
      </c>
      <c r="B7" s="6">
        <f>B6*12</f>
        <v>719520</v>
      </c>
      <c r="C7" s="6">
        <f>C6*12</f>
        <v>834504</v>
      </c>
      <c r="D7" s="6">
        <f>D6*12</f>
        <v>1349100</v>
      </c>
    </row>
    <row r="9" spans="1:15" x14ac:dyDescent="0.3">
      <c r="A9" t="s">
        <v>12</v>
      </c>
    </row>
    <row r="10" spans="1:15" x14ac:dyDescent="0.3">
      <c r="A10" t="s">
        <v>0</v>
      </c>
    </row>
    <row r="11" spans="1:15" x14ac:dyDescent="0.3">
      <c r="A11" t="s">
        <v>11</v>
      </c>
      <c r="B11">
        <v>40</v>
      </c>
      <c r="C11">
        <v>58</v>
      </c>
      <c r="D11">
        <v>75</v>
      </c>
    </row>
    <row r="12" spans="1:15" x14ac:dyDescent="0.3">
      <c r="A12" t="s">
        <v>12</v>
      </c>
      <c r="B12" s="5">
        <v>300</v>
      </c>
      <c r="C12" s="5">
        <v>250</v>
      </c>
      <c r="D12" s="5">
        <v>200</v>
      </c>
    </row>
    <row r="13" spans="1:15" x14ac:dyDescent="0.3">
      <c r="A13" t="s">
        <v>35</v>
      </c>
      <c r="B13" s="1">
        <f>$B$11*$B$12</f>
        <v>12000</v>
      </c>
      <c r="C13" s="1">
        <f>$C$11*$C$12</f>
        <v>14500</v>
      </c>
      <c r="D13" s="1">
        <f>$D$11*$D$12</f>
        <v>15000</v>
      </c>
      <c r="F13" s="2" t="s">
        <v>18</v>
      </c>
      <c r="G13">
        <f>AVERAGE($G$5:$I$5)</f>
        <v>600</v>
      </c>
      <c r="H13" s="4">
        <f>G13/1000</f>
        <v>0.6</v>
      </c>
    </row>
    <row r="14" spans="1:15" x14ac:dyDescent="0.3">
      <c r="A14" t="s">
        <v>36</v>
      </c>
      <c r="B14" s="6">
        <f>B13*12</f>
        <v>144000</v>
      </c>
      <c r="C14" s="6">
        <f>C13*12</f>
        <v>174000</v>
      </c>
      <c r="D14" s="6">
        <f>D13*12</f>
        <v>180000</v>
      </c>
    </row>
    <row r="17" spans="1:11" x14ac:dyDescent="0.3">
      <c r="A17" t="s">
        <v>181</v>
      </c>
    </row>
    <row r="22" spans="1:11" x14ac:dyDescent="0.3">
      <c r="A22" t="s">
        <v>14</v>
      </c>
      <c r="B22" t="str">
        <f>location1</f>
        <v>New Bustand</v>
      </c>
      <c r="C22" t="str">
        <f>location2</f>
        <v>Palay Market</v>
      </c>
      <c r="D22" t="str">
        <f>location3</f>
        <v>Near Jose School</v>
      </c>
      <c r="G22" s="25" t="s">
        <v>24</v>
      </c>
      <c r="H22" s="25"/>
      <c r="I22" s="25"/>
    </row>
    <row r="23" spans="1:11" ht="28.8" x14ac:dyDescent="0.3">
      <c r="A23" s="3" t="s">
        <v>30</v>
      </c>
      <c r="B23" s="7">
        <f>AVERAGE($G$30:$I$30)</f>
        <v>500</v>
      </c>
      <c r="C23" s="7">
        <f>AVERAGE($G$24:$H$24:$I$24:$J$24)</f>
        <v>650</v>
      </c>
      <c r="D23" s="7">
        <f>AVERAGE($G$5:$I$5)</f>
        <v>600</v>
      </c>
      <c r="G23" t="s">
        <v>20</v>
      </c>
      <c r="H23" t="s">
        <v>21</v>
      </c>
      <c r="I23" t="s">
        <v>22</v>
      </c>
      <c r="J23" t="s">
        <v>23</v>
      </c>
      <c r="K23" t="s">
        <v>28</v>
      </c>
    </row>
    <row r="24" spans="1:11" x14ac:dyDescent="0.3">
      <c r="G24">
        <v>600</v>
      </c>
      <c r="H24">
        <v>800</v>
      </c>
      <c r="I24">
        <v>600</v>
      </c>
      <c r="J24">
        <v>600</v>
      </c>
      <c r="K24">
        <v>500</v>
      </c>
    </row>
    <row r="25" spans="1:11" ht="28.8" x14ac:dyDescent="0.3">
      <c r="A25" s="3" t="s">
        <v>31</v>
      </c>
      <c r="B25" s="8">
        <f>B23/2</f>
        <v>250</v>
      </c>
      <c r="C25" s="8">
        <f>C23/2</f>
        <v>325</v>
      </c>
      <c r="D25" s="8">
        <f>D23/2</f>
        <v>300</v>
      </c>
      <c r="H25" t="s">
        <v>29</v>
      </c>
    </row>
    <row r="26" spans="1:11" x14ac:dyDescent="0.3">
      <c r="B26" s="9">
        <f>B25/1000</f>
        <v>0.25</v>
      </c>
      <c r="C26" s="9">
        <f>C25/1000</f>
        <v>0.32500000000000001</v>
      </c>
      <c r="D26" s="9">
        <f>D25/1000</f>
        <v>0.3</v>
      </c>
      <c r="F26" t="s">
        <v>18</v>
      </c>
      <c r="G26">
        <f>AVERAGE($G$24:$H$24:$I$24:$J$24)</f>
        <v>650</v>
      </c>
      <c r="H26" s="4">
        <f>G26/1000</f>
        <v>0.65</v>
      </c>
    </row>
    <row r="28" spans="1:11" x14ac:dyDescent="0.3">
      <c r="A28" t="s">
        <v>32</v>
      </c>
      <c r="B28" s="10">
        <v>200</v>
      </c>
      <c r="C28" s="10">
        <v>250</v>
      </c>
      <c r="D28" s="10">
        <v>150</v>
      </c>
      <c r="G28" s="25" t="s">
        <v>25</v>
      </c>
      <c r="H28" s="25"/>
      <c r="I28" s="25"/>
    </row>
    <row r="29" spans="1:11" ht="28.8" x14ac:dyDescent="0.3">
      <c r="A29" s="3" t="s">
        <v>33</v>
      </c>
      <c r="B29" s="11">
        <f>B25-B28</f>
        <v>50</v>
      </c>
      <c r="C29" s="11">
        <f>C25-C28</f>
        <v>75</v>
      </c>
      <c r="D29" s="11">
        <f>D25-D28</f>
        <v>150</v>
      </c>
      <c r="G29" t="s">
        <v>26</v>
      </c>
      <c r="H29" t="s">
        <v>27</v>
      </c>
      <c r="I29" t="s">
        <v>28</v>
      </c>
    </row>
    <row r="30" spans="1:11" x14ac:dyDescent="0.3">
      <c r="B30" s="12">
        <f>B29/B25</f>
        <v>0.2</v>
      </c>
      <c r="C30" s="12">
        <f>C29/C25</f>
        <v>0.23076923076923078</v>
      </c>
      <c r="D30" s="12">
        <f>D29/D25</f>
        <v>0.5</v>
      </c>
      <c r="G30">
        <v>500</v>
      </c>
      <c r="H30">
        <v>500</v>
      </c>
      <c r="I30">
        <v>500</v>
      </c>
    </row>
    <row r="31" spans="1:11" ht="28.8" x14ac:dyDescent="0.3">
      <c r="A31" s="3" t="s">
        <v>34</v>
      </c>
      <c r="B31" s="13">
        <f>B28*B30</f>
        <v>40</v>
      </c>
      <c r="C31" s="14">
        <f>ROUNDUP(C28*C30,0)</f>
        <v>58</v>
      </c>
      <c r="D31" s="13">
        <f>D28*D30</f>
        <v>75</v>
      </c>
      <c r="H31" t="s">
        <v>29</v>
      </c>
    </row>
    <row r="32" spans="1:11" x14ac:dyDescent="0.3">
      <c r="F32" t="s">
        <v>18</v>
      </c>
      <c r="G32">
        <f>AVERAGE($G$30:$I$30)</f>
        <v>500</v>
      </c>
      <c r="H32" s="4">
        <f>G32/1000</f>
        <v>0.5</v>
      </c>
    </row>
    <row r="35" spans="1:12" x14ac:dyDescent="0.3">
      <c r="A35" s="15" t="s">
        <v>37</v>
      </c>
      <c r="B35" t="s">
        <v>38</v>
      </c>
      <c r="C35" t="s">
        <v>41</v>
      </c>
    </row>
    <row r="36" spans="1:12" x14ac:dyDescent="0.3">
      <c r="A36" t="s">
        <v>39</v>
      </c>
      <c r="B36">
        <v>500</v>
      </c>
      <c r="C36">
        <v>800</v>
      </c>
      <c r="D36">
        <v>1200</v>
      </c>
    </row>
    <row r="37" spans="1:12" x14ac:dyDescent="0.3">
      <c r="A37" t="s">
        <v>42</v>
      </c>
      <c r="B37">
        <v>800</v>
      </c>
      <c r="C37">
        <v>600</v>
      </c>
      <c r="D37">
        <v>1000</v>
      </c>
    </row>
    <row r="38" spans="1:12" x14ac:dyDescent="0.3">
      <c r="A38" t="s">
        <v>40</v>
      </c>
    </row>
    <row r="39" spans="1:12" x14ac:dyDescent="0.3">
      <c r="A39" t="s">
        <v>79</v>
      </c>
      <c r="B39">
        <v>1500</v>
      </c>
      <c r="C39">
        <v>1200</v>
      </c>
      <c r="D39">
        <v>1500</v>
      </c>
    </row>
    <row r="44" spans="1:12" x14ac:dyDescent="0.3">
      <c r="A44" t="s">
        <v>43</v>
      </c>
      <c r="B44" t="s">
        <v>45</v>
      </c>
      <c r="C44" t="s">
        <v>45</v>
      </c>
      <c r="D44" t="s">
        <v>45</v>
      </c>
      <c r="E44" t="s">
        <v>46</v>
      </c>
      <c r="F44" t="s">
        <v>46</v>
      </c>
      <c r="G44" t="s">
        <v>48</v>
      </c>
      <c r="H44" t="s">
        <v>12</v>
      </c>
      <c r="I44" t="s">
        <v>49</v>
      </c>
      <c r="J44" t="s">
        <v>52</v>
      </c>
      <c r="K44" t="s">
        <v>56</v>
      </c>
      <c r="L44" t="s">
        <v>56</v>
      </c>
    </row>
    <row r="45" spans="1:12" x14ac:dyDescent="0.3">
      <c r="A45" t="s">
        <v>50</v>
      </c>
      <c r="E45">
        <v>5</v>
      </c>
      <c r="F45">
        <v>5</v>
      </c>
      <c r="G45" t="s">
        <v>51</v>
      </c>
      <c r="H45">
        <v>1</v>
      </c>
      <c r="I45" t="s">
        <v>53</v>
      </c>
      <c r="J45">
        <f>5/20</f>
        <v>0.25</v>
      </c>
      <c r="K45">
        <f>($E$45*$H$45*J46)</f>
        <v>1.5</v>
      </c>
      <c r="L45">
        <f>(E45*H45*J45)</f>
        <v>1.25</v>
      </c>
    </row>
    <row r="46" spans="1:12" x14ac:dyDescent="0.3">
      <c r="A46" t="s">
        <v>44</v>
      </c>
      <c r="E46">
        <v>5</v>
      </c>
      <c r="F46">
        <v>5</v>
      </c>
      <c r="G46" t="s">
        <v>54</v>
      </c>
      <c r="H46">
        <v>1.5</v>
      </c>
      <c r="I46">
        <f>1*5</f>
        <v>5</v>
      </c>
      <c r="J46">
        <f>1.5/5</f>
        <v>0.3</v>
      </c>
      <c r="K46">
        <f>($E$46*$H$46*$J$46)</f>
        <v>2.25</v>
      </c>
      <c r="L46">
        <f>($E$46*$H$46*$J$46)</f>
        <v>2.25</v>
      </c>
    </row>
    <row r="47" spans="1:12" x14ac:dyDescent="0.3">
      <c r="A47" t="s">
        <v>47</v>
      </c>
      <c r="E47">
        <v>1</v>
      </c>
      <c r="F47">
        <v>5</v>
      </c>
      <c r="G47" t="s">
        <v>55</v>
      </c>
      <c r="H47">
        <v>1</v>
      </c>
      <c r="I47">
        <v>6000</v>
      </c>
      <c r="J47">
        <f>1/6000</f>
        <v>1.6666666666666666E-4</v>
      </c>
      <c r="K47">
        <f>(E47*H47*J47)</f>
        <v>1.6666666666666666E-4</v>
      </c>
      <c r="L47">
        <f>(F47*H47*J47)</f>
        <v>8.3333333333333328E-4</v>
      </c>
    </row>
  </sheetData>
  <mergeCells count="3">
    <mergeCell ref="G3:I3"/>
    <mergeCell ref="G22:I22"/>
    <mergeCell ref="G28:I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E6694-E737-4723-A5AB-0C7C15CF78EF}">
  <dimension ref="A1:D12"/>
  <sheetViews>
    <sheetView workbookViewId="0">
      <selection sqref="A1:D11"/>
    </sheetView>
  </sheetViews>
  <sheetFormatPr defaultRowHeight="14.4" x14ac:dyDescent="0.3"/>
  <sheetData>
    <row r="1" spans="1:4" x14ac:dyDescent="0.3">
      <c r="B1" t="str">
        <f>Revenue!B1</f>
        <v>New Bustand</v>
      </c>
      <c r="C1" t="str">
        <f>Revenue!C1</f>
        <v>Palay Market</v>
      </c>
      <c r="D1" t="str">
        <f>Revenue!D1</f>
        <v>Near Jose School</v>
      </c>
    </row>
    <row r="2" spans="1:4" x14ac:dyDescent="0.3">
      <c r="A2" t="s">
        <v>99</v>
      </c>
      <c r="B2">
        <f>Revenue!B31</f>
        <v>40</v>
      </c>
      <c r="C2" s="17">
        <f>Revenue!C31</f>
        <v>58</v>
      </c>
      <c r="D2">
        <f>Revenue!D31</f>
        <v>75</v>
      </c>
    </row>
    <row r="5" spans="1:4" x14ac:dyDescent="0.3">
      <c r="A5" s="15" t="s">
        <v>100</v>
      </c>
      <c r="B5" t="s">
        <v>9</v>
      </c>
      <c r="C5" t="s">
        <v>9</v>
      </c>
      <c r="D5" t="s">
        <v>9</v>
      </c>
    </row>
    <row r="6" spans="1:4" x14ac:dyDescent="0.3">
      <c r="A6" t="s">
        <v>104</v>
      </c>
      <c r="B6" s="16">
        <v>20000</v>
      </c>
      <c r="C6" s="16">
        <v>15000</v>
      </c>
      <c r="D6" s="16">
        <v>10000</v>
      </c>
    </row>
    <row r="7" spans="1:4" x14ac:dyDescent="0.3">
      <c r="A7" t="s">
        <v>105</v>
      </c>
      <c r="B7" s="16">
        <v>100000</v>
      </c>
      <c r="C7" s="16">
        <v>100000</v>
      </c>
      <c r="D7" s="16">
        <v>100000</v>
      </c>
    </row>
    <row r="8" spans="1:4" x14ac:dyDescent="0.3">
      <c r="A8" t="s">
        <v>101</v>
      </c>
      <c r="B8">
        <v>100000</v>
      </c>
      <c r="C8">
        <v>100000</v>
      </c>
      <c r="D8">
        <v>100000</v>
      </c>
    </row>
    <row r="9" spans="1:4" x14ac:dyDescent="0.3">
      <c r="A9" t="s">
        <v>102</v>
      </c>
      <c r="B9" s="16">
        <v>50000</v>
      </c>
      <c r="C9" s="16">
        <v>50000</v>
      </c>
      <c r="D9" s="16">
        <v>50000</v>
      </c>
    </row>
    <row r="11" spans="1:4" x14ac:dyDescent="0.3">
      <c r="A11" t="s">
        <v>103</v>
      </c>
      <c r="B11" s="16">
        <f>SUM(B6:B9)</f>
        <v>270000</v>
      </c>
      <c r="C11" s="16">
        <f t="shared" ref="C11:D11" si="0">SUM(C6:C9)</f>
        <v>265000</v>
      </c>
      <c r="D11" s="16">
        <f t="shared" si="0"/>
        <v>260000</v>
      </c>
    </row>
    <row r="12" spans="1:4" x14ac:dyDescent="0.3">
      <c r="B12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B21A2-F655-4529-A82C-42F3C22EB942}">
  <dimension ref="A1:L39"/>
  <sheetViews>
    <sheetView workbookViewId="0">
      <selection activeCell="B16" sqref="B16"/>
    </sheetView>
  </sheetViews>
  <sheetFormatPr defaultRowHeight="14.4" x14ac:dyDescent="0.3"/>
  <cols>
    <col min="1" max="1" width="22.109375" bestFit="1" customWidth="1"/>
    <col min="2" max="2" width="16.109375" customWidth="1"/>
    <col min="4" max="4" width="15.33203125" customWidth="1"/>
    <col min="5" max="5" width="20.33203125" bestFit="1" customWidth="1"/>
    <col min="6" max="6" width="32.88671875" bestFit="1" customWidth="1"/>
    <col min="7" max="7" width="33" bestFit="1" customWidth="1"/>
    <col min="9" max="9" width="9.5546875" bestFit="1" customWidth="1"/>
  </cols>
  <sheetData>
    <row r="1" spans="1:12" x14ac:dyDescent="0.3">
      <c r="A1" s="15" t="s">
        <v>43</v>
      </c>
      <c r="B1" t="s">
        <v>45</v>
      </c>
      <c r="C1" t="s">
        <v>45</v>
      </c>
      <c r="D1" t="s">
        <v>45</v>
      </c>
      <c r="E1" t="s">
        <v>46</v>
      </c>
      <c r="F1" t="s">
        <v>46</v>
      </c>
      <c r="G1" t="s">
        <v>48</v>
      </c>
      <c r="H1" t="s">
        <v>12</v>
      </c>
      <c r="I1" t="s">
        <v>49</v>
      </c>
      <c r="J1" t="s">
        <v>52</v>
      </c>
      <c r="K1" t="s">
        <v>56</v>
      </c>
      <c r="L1" t="s">
        <v>56</v>
      </c>
    </row>
    <row r="2" spans="1:12" x14ac:dyDescent="0.3">
      <c r="A2" t="s">
        <v>50</v>
      </c>
      <c r="E2">
        <v>5</v>
      </c>
      <c r="F2">
        <v>5</v>
      </c>
      <c r="G2" t="s">
        <v>51</v>
      </c>
      <c r="H2">
        <v>1</v>
      </c>
      <c r="I2" t="s">
        <v>53</v>
      </c>
      <c r="J2">
        <f>5/20</f>
        <v>0.25</v>
      </c>
      <c r="K2">
        <f>($E$37*$H$37*$J$2)</f>
        <v>0</v>
      </c>
      <c r="L2">
        <f>(E2*H2*J2)</f>
        <v>1.25</v>
      </c>
    </row>
    <row r="3" spans="1:12" x14ac:dyDescent="0.3">
      <c r="A3" t="s">
        <v>44</v>
      </c>
      <c r="E3">
        <v>5</v>
      </c>
      <c r="F3">
        <v>5</v>
      </c>
      <c r="G3" t="s">
        <v>54</v>
      </c>
      <c r="H3">
        <v>1.5</v>
      </c>
      <c r="I3">
        <f>1*5</f>
        <v>5</v>
      </c>
      <c r="J3">
        <f>1.5/5</f>
        <v>0.3</v>
      </c>
      <c r="K3">
        <f>Cost!E3*Cost!H3*Cost!J3</f>
        <v>2.25</v>
      </c>
      <c r="L3">
        <f>E3*H3*J3</f>
        <v>2.25</v>
      </c>
    </row>
    <row r="4" spans="1:12" x14ac:dyDescent="0.3">
      <c r="A4" t="s">
        <v>47</v>
      </c>
      <c r="E4">
        <v>1</v>
      </c>
      <c r="F4">
        <v>5</v>
      </c>
      <c r="G4" t="s">
        <v>61</v>
      </c>
      <c r="H4">
        <v>1</v>
      </c>
      <c r="I4">
        <v>6000</v>
      </c>
      <c r="J4">
        <f>1/6000</f>
        <v>1.6666666666666666E-4</v>
      </c>
      <c r="K4">
        <f>(E4*H4*J4)</f>
        <v>1.6666666666666666E-4</v>
      </c>
      <c r="L4">
        <f>(F4*H4*J4)</f>
        <v>8.3333333333333328E-4</v>
      </c>
    </row>
    <row r="7" spans="1:12" x14ac:dyDescent="0.3">
      <c r="A7" t="s">
        <v>60</v>
      </c>
      <c r="B7" t="s">
        <v>58</v>
      </c>
      <c r="C7" t="s">
        <v>57</v>
      </c>
      <c r="E7" t="s">
        <v>59</v>
      </c>
      <c r="F7" t="s">
        <v>62</v>
      </c>
    </row>
    <row r="8" spans="1:12" x14ac:dyDescent="0.3">
      <c r="A8">
        <v>6000</v>
      </c>
      <c r="B8">
        <v>5.5</v>
      </c>
      <c r="C8">
        <f>B8*26</f>
        <v>143</v>
      </c>
      <c r="E8">
        <f>6000/143</f>
        <v>41.95804195804196</v>
      </c>
    </row>
    <row r="10" spans="1:12" x14ac:dyDescent="0.3">
      <c r="A10" t="s">
        <v>65</v>
      </c>
      <c r="B10" t="s">
        <v>63</v>
      </c>
      <c r="C10" t="s">
        <v>64</v>
      </c>
      <c r="E10" t="s">
        <v>66</v>
      </c>
      <c r="F10" t="s">
        <v>67</v>
      </c>
      <c r="G10" t="s">
        <v>68</v>
      </c>
    </row>
    <row r="11" spans="1:12" x14ac:dyDescent="0.3">
      <c r="B11">
        <v>2.25</v>
      </c>
      <c r="C11">
        <f>8*B11</f>
        <v>18</v>
      </c>
      <c r="F11">
        <v>1.25</v>
      </c>
      <c r="G11">
        <f>F11*26</f>
        <v>32.5</v>
      </c>
    </row>
    <row r="13" spans="1:12" x14ac:dyDescent="0.3">
      <c r="A13" t="s">
        <v>69</v>
      </c>
      <c r="B13" t="s">
        <v>70</v>
      </c>
      <c r="D13" t="s">
        <v>77</v>
      </c>
      <c r="G13" t="s">
        <v>78</v>
      </c>
    </row>
    <row r="14" spans="1:12" x14ac:dyDescent="0.3">
      <c r="B14">
        <f>6000/40</f>
        <v>150</v>
      </c>
      <c r="D14">
        <f>6000/58</f>
        <v>103.44827586206897</v>
      </c>
      <c r="G14">
        <f>6000/75</f>
        <v>80</v>
      </c>
    </row>
    <row r="16" spans="1:12" x14ac:dyDescent="0.3">
      <c r="A16" s="15" t="str">
        <f>location1</f>
        <v>New Bustand</v>
      </c>
      <c r="D16" s="15" t="str">
        <f>location2</f>
        <v>Palay Market</v>
      </c>
      <c r="G16" s="15" t="str">
        <f>location3</f>
        <v>Near Jose School</v>
      </c>
    </row>
    <row r="17" spans="1:8" x14ac:dyDescent="0.3">
      <c r="A17" t="s">
        <v>71</v>
      </c>
      <c r="B17">
        <v>18</v>
      </c>
      <c r="D17" t="s">
        <v>71</v>
      </c>
      <c r="E17">
        <v>18</v>
      </c>
      <c r="G17" t="s">
        <v>71</v>
      </c>
      <c r="H17">
        <v>18</v>
      </c>
    </row>
    <row r="18" spans="1:8" x14ac:dyDescent="0.3">
      <c r="A18" t="s">
        <v>72</v>
      </c>
      <c r="B18">
        <v>32.5</v>
      </c>
      <c r="D18" t="s">
        <v>72</v>
      </c>
      <c r="E18">
        <v>32.5</v>
      </c>
      <c r="G18" t="s">
        <v>72</v>
      </c>
      <c r="H18">
        <v>32.5</v>
      </c>
    </row>
    <row r="19" spans="1:8" x14ac:dyDescent="0.3">
      <c r="A19" t="s">
        <v>73</v>
      </c>
      <c r="B19">
        <v>150</v>
      </c>
      <c r="D19" t="s">
        <v>73</v>
      </c>
      <c r="E19">
        <f>6000/58</f>
        <v>103.44827586206897</v>
      </c>
      <c r="G19" t="s">
        <v>73</v>
      </c>
      <c r="H19">
        <f>6000/75</f>
        <v>80</v>
      </c>
    </row>
    <row r="20" spans="1:8" x14ac:dyDescent="0.3">
      <c r="B20">
        <f>SUM(B17:B19)</f>
        <v>200.5</v>
      </c>
      <c r="E20">
        <f>SUM(E17:E19)</f>
        <v>153.94827586206895</v>
      </c>
      <c r="H20">
        <f>SUM(H17:H19)</f>
        <v>130.5</v>
      </c>
    </row>
    <row r="21" spans="1:8" x14ac:dyDescent="0.3">
      <c r="A21" s="15" t="s">
        <v>74</v>
      </c>
      <c r="B21">
        <f>200*20/100</f>
        <v>40</v>
      </c>
      <c r="D21" s="15" t="s">
        <v>74</v>
      </c>
      <c r="E21">
        <f>153.9483*20/100</f>
        <v>30.789659999999998</v>
      </c>
      <c r="G21" s="15" t="s">
        <v>74</v>
      </c>
      <c r="H21">
        <f>130*20/100</f>
        <v>26</v>
      </c>
    </row>
    <row r="22" spans="1:8" x14ac:dyDescent="0.3">
      <c r="A22" t="s">
        <v>75</v>
      </c>
      <c r="B22">
        <f>SUM(B20,B21)</f>
        <v>240.5</v>
      </c>
      <c r="D22" t="s">
        <v>75</v>
      </c>
      <c r="E22">
        <f>SUM(E20,E21)</f>
        <v>184.73793586206895</v>
      </c>
      <c r="G22" t="s">
        <v>75</v>
      </c>
      <c r="H22">
        <f>SUM(H20,H21)</f>
        <v>156.5</v>
      </c>
    </row>
    <row r="23" spans="1:8" x14ac:dyDescent="0.3">
      <c r="A23" s="15" t="s">
        <v>76</v>
      </c>
      <c r="B23">
        <v>250</v>
      </c>
      <c r="D23" s="15" t="s">
        <v>76</v>
      </c>
      <c r="E23">
        <v>200</v>
      </c>
      <c r="G23" s="15" t="s">
        <v>76</v>
      </c>
      <c r="H23">
        <v>200</v>
      </c>
    </row>
    <row r="26" spans="1:8" x14ac:dyDescent="0.3">
      <c r="A26" s="15" t="s">
        <v>80</v>
      </c>
    </row>
    <row r="27" spans="1:8" x14ac:dyDescent="0.3">
      <c r="A27" t="s">
        <v>81</v>
      </c>
      <c r="B27" s="16">
        <v>15000</v>
      </c>
      <c r="E27" s="16">
        <v>20000</v>
      </c>
      <c r="H27" s="16">
        <v>15000</v>
      </c>
    </row>
    <row r="28" spans="1:8" x14ac:dyDescent="0.3">
      <c r="A28" t="s">
        <v>102</v>
      </c>
      <c r="B28" s="16">
        <v>21500</v>
      </c>
      <c r="E28" s="16">
        <v>31000</v>
      </c>
      <c r="H28" s="16">
        <v>40000</v>
      </c>
    </row>
    <row r="30" spans="1:8" x14ac:dyDescent="0.3">
      <c r="A30" s="15" t="s">
        <v>89</v>
      </c>
    </row>
    <row r="31" spans="1:8" x14ac:dyDescent="0.3">
      <c r="A31" t="str">
        <f>Labour!A12</f>
        <v>part time per year</v>
      </c>
      <c r="B31">
        <f>Labour!B12</f>
        <v>16000</v>
      </c>
      <c r="C31">
        <f>Labour!C12</f>
        <v>32000</v>
      </c>
      <c r="D31">
        <f>Labour!D12</f>
        <v>40000</v>
      </c>
    </row>
    <row r="32" spans="1:8" x14ac:dyDescent="0.3">
      <c r="A32" t="str">
        <f>Labour!A13</f>
        <v>full time per year</v>
      </c>
      <c r="B32">
        <f>Labour!B13</f>
        <v>16000</v>
      </c>
      <c r="C32">
        <f>Labour!C13</f>
        <v>32000</v>
      </c>
      <c r="D32">
        <f>Labour!D13</f>
        <v>40000</v>
      </c>
    </row>
    <row r="33" spans="1:4" x14ac:dyDescent="0.3">
      <c r="A33" t="str">
        <f>Labour!A15</f>
        <v>Total Staff Per Year</v>
      </c>
      <c r="B33">
        <f>Labour!B15</f>
        <v>32000</v>
      </c>
      <c r="C33">
        <f>Labour!C15</f>
        <v>64000</v>
      </c>
      <c r="D33">
        <f>Labour!D15</f>
        <v>80000</v>
      </c>
    </row>
    <row r="36" spans="1:4" x14ac:dyDescent="0.3">
      <c r="A36" s="15" t="s">
        <v>90</v>
      </c>
    </row>
    <row r="37" spans="1:4" x14ac:dyDescent="0.3">
      <c r="A37" t="str">
        <f>A31</f>
        <v>part time per year</v>
      </c>
      <c r="B37">
        <f>B31*12</f>
        <v>192000</v>
      </c>
      <c r="C37">
        <f t="shared" ref="C37:D37" si="0">C31*12</f>
        <v>384000</v>
      </c>
      <c r="D37">
        <f t="shared" si="0"/>
        <v>480000</v>
      </c>
    </row>
    <row r="38" spans="1:4" x14ac:dyDescent="0.3">
      <c r="A38" t="str">
        <f>A32</f>
        <v>full time per year</v>
      </c>
      <c r="B38">
        <f>B32*12</f>
        <v>192000</v>
      </c>
      <c r="C38">
        <f t="shared" ref="C38:D38" si="1">C32*12</f>
        <v>384000</v>
      </c>
      <c r="D38">
        <f t="shared" si="1"/>
        <v>480000</v>
      </c>
    </row>
    <row r="39" spans="1:4" x14ac:dyDescent="0.3">
      <c r="A39" t="str">
        <f>Labour!A15</f>
        <v>Total Staff Per Year</v>
      </c>
      <c r="B39">
        <f>B33*12</f>
        <v>384000</v>
      </c>
      <c r="C39">
        <f t="shared" ref="C39:D39" si="2">C33*12</f>
        <v>768000</v>
      </c>
      <c r="D39">
        <f t="shared" si="2"/>
        <v>960000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EAAF-854B-4033-928F-48E57E07C639}">
  <dimension ref="A1:D15"/>
  <sheetViews>
    <sheetView workbookViewId="0">
      <selection sqref="A1:D15"/>
    </sheetView>
  </sheetViews>
  <sheetFormatPr defaultRowHeight="14.4" x14ac:dyDescent="0.3"/>
  <sheetData>
    <row r="1" spans="1:4" x14ac:dyDescent="0.3">
      <c r="A1" s="15" t="s">
        <v>82</v>
      </c>
      <c r="B1" s="15" t="s">
        <v>83</v>
      </c>
      <c r="C1" s="15" t="s">
        <v>84</v>
      </c>
      <c r="D1" s="15" t="s">
        <v>85</v>
      </c>
    </row>
    <row r="2" spans="1:4" x14ac:dyDescent="0.3">
      <c r="A2" t="s">
        <v>86</v>
      </c>
      <c r="B2">
        <v>40</v>
      </c>
      <c r="C2">
        <v>58</v>
      </c>
      <c r="D2">
        <v>75</v>
      </c>
    </row>
    <row r="3" spans="1:4" x14ac:dyDescent="0.3">
      <c r="A3" t="s">
        <v>95</v>
      </c>
      <c r="B3">
        <v>6</v>
      </c>
      <c r="C3">
        <f>ROUNDUP(C2/5,0)</f>
        <v>12</v>
      </c>
      <c r="D3">
        <f>D2/5</f>
        <v>15</v>
      </c>
    </row>
    <row r="4" spans="1:4" x14ac:dyDescent="0.3">
      <c r="A4" t="s">
        <v>96</v>
      </c>
      <c r="B4">
        <v>4</v>
      </c>
      <c r="C4">
        <v>8</v>
      </c>
      <c r="D4">
        <v>10</v>
      </c>
    </row>
    <row r="5" spans="1:4" x14ac:dyDescent="0.3">
      <c r="A5" t="s">
        <v>97</v>
      </c>
      <c r="B5">
        <v>2</v>
      </c>
      <c r="C5">
        <v>4</v>
      </c>
      <c r="D5">
        <v>5</v>
      </c>
    </row>
    <row r="7" spans="1:4" x14ac:dyDescent="0.3">
      <c r="A7" s="15" t="s">
        <v>87</v>
      </c>
    </row>
    <row r="8" spans="1:4" x14ac:dyDescent="0.3">
      <c r="A8" t="s">
        <v>126</v>
      </c>
      <c r="B8">
        <v>4000</v>
      </c>
      <c r="C8">
        <v>4000</v>
      </c>
      <c r="D8">
        <v>4000</v>
      </c>
    </row>
    <row r="9" spans="1:4" x14ac:dyDescent="0.3">
      <c r="A9" t="s">
        <v>127</v>
      </c>
      <c r="B9">
        <v>8000</v>
      </c>
      <c r="C9">
        <v>8000</v>
      </c>
      <c r="D9">
        <v>8000</v>
      </c>
    </row>
    <row r="11" spans="1:4" x14ac:dyDescent="0.3">
      <c r="A11" s="15" t="s">
        <v>88</v>
      </c>
    </row>
    <row r="12" spans="1:4" x14ac:dyDescent="0.3">
      <c r="A12" t="s">
        <v>129</v>
      </c>
      <c r="B12">
        <f>B8*B4</f>
        <v>16000</v>
      </c>
      <c r="C12">
        <f t="shared" ref="C12:D12" si="0">C8*C4</f>
        <v>32000</v>
      </c>
      <c r="D12">
        <f t="shared" si="0"/>
        <v>40000</v>
      </c>
    </row>
    <row r="13" spans="1:4" x14ac:dyDescent="0.3">
      <c r="A13" t="s">
        <v>128</v>
      </c>
      <c r="B13">
        <f>B9*B5</f>
        <v>16000</v>
      </c>
      <c r="C13">
        <f t="shared" ref="C13:D13" si="1">C9*C5</f>
        <v>32000</v>
      </c>
      <c r="D13">
        <f t="shared" si="1"/>
        <v>40000</v>
      </c>
    </row>
    <row r="15" spans="1:4" x14ac:dyDescent="0.3">
      <c r="A15" s="15" t="s">
        <v>125</v>
      </c>
      <c r="B15">
        <f>B13+B12</f>
        <v>32000</v>
      </c>
      <c r="C15">
        <f t="shared" ref="C15:D15" si="2">C13+C12</f>
        <v>64000</v>
      </c>
      <c r="D15">
        <f t="shared" si="2"/>
        <v>80000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48FE-A4E2-4E8E-8C85-BC5F6718F58C}">
  <dimension ref="A1:M12"/>
  <sheetViews>
    <sheetView workbookViewId="0">
      <selection activeCell="I11" sqref="I11"/>
    </sheetView>
  </sheetViews>
  <sheetFormatPr defaultRowHeight="14.4" x14ac:dyDescent="0.3"/>
  <sheetData>
    <row r="1" spans="1:13" x14ac:dyDescent="0.3"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</row>
    <row r="2" spans="1:13" x14ac:dyDescent="0.3">
      <c r="A2" t="s">
        <v>176</v>
      </c>
    </row>
    <row r="3" spans="1:13" x14ac:dyDescent="0.3">
      <c r="A3" t="s">
        <v>169</v>
      </c>
      <c r="B3">
        <v>40</v>
      </c>
      <c r="C3">
        <v>40</v>
      </c>
      <c r="D3">
        <v>40</v>
      </c>
      <c r="E3">
        <v>40</v>
      </c>
      <c r="F3">
        <v>40</v>
      </c>
      <c r="G3">
        <v>40</v>
      </c>
      <c r="H3">
        <v>40</v>
      </c>
      <c r="I3">
        <v>40</v>
      </c>
      <c r="J3">
        <v>40</v>
      </c>
      <c r="K3">
        <v>40</v>
      </c>
      <c r="L3">
        <v>40</v>
      </c>
      <c r="M3">
        <v>40</v>
      </c>
    </row>
    <row r="4" spans="1:13" x14ac:dyDescent="0.3">
      <c r="A4" t="s">
        <v>170</v>
      </c>
      <c r="B4">
        <v>58</v>
      </c>
      <c r="C4">
        <v>58</v>
      </c>
      <c r="D4">
        <v>58</v>
      </c>
      <c r="E4">
        <v>58</v>
      </c>
      <c r="F4">
        <v>58</v>
      </c>
      <c r="G4">
        <v>58</v>
      </c>
      <c r="H4">
        <v>58</v>
      </c>
      <c r="I4">
        <v>58</v>
      </c>
      <c r="J4">
        <v>58</v>
      </c>
      <c r="K4">
        <v>58</v>
      </c>
      <c r="L4">
        <v>58</v>
      </c>
      <c r="M4">
        <v>58</v>
      </c>
    </row>
    <row r="5" spans="1:13" x14ac:dyDescent="0.3">
      <c r="A5" t="s">
        <v>178</v>
      </c>
      <c r="B5">
        <v>75</v>
      </c>
      <c r="C5">
        <v>75</v>
      </c>
      <c r="D5">
        <v>75</v>
      </c>
      <c r="E5">
        <v>75</v>
      </c>
      <c r="F5">
        <v>75</v>
      </c>
      <c r="G5">
        <v>75</v>
      </c>
      <c r="H5">
        <v>75</v>
      </c>
      <c r="I5">
        <v>75</v>
      </c>
      <c r="J5">
        <v>75</v>
      </c>
      <c r="K5">
        <v>75</v>
      </c>
      <c r="L5">
        <v>75</v>
      </c>
      <c r="M5">
        <v>75</v>
      </c>
    </row>
    <row r="7" spans="1:13" x14ac:dyDescent="0.3">
      <c r="A7" t="s">
        <v>102</v>
      </c>
    </row>
    <row r="8" spans="1:13" x14ac:dyDescent="0.3">
      <c r="A8" t="s">
        <v>169</v>
      </c>
      <c r="B8" s="16">
        <f>Cost!$B$28</f>
        <v>21500</v>
      </c>
      <c r="C8" s="16">
        <f>Cost!$B$28</f>
        <v>21500</v>
      </c>
      <c r="D8" s="16">
        <f>Cost!$B$28</f>
        <v>21500</v>
      </c>
      <c r="E8" s="16">
        <f>Cost!$B$28</f>
        <v>21500</v>
      </c>
      <c r="F8" s="16">
        <f>Cost!$B$28</f>
        <v>21500</v>
      </c>
      <c r="G8" s="16">
        <f>Cost!$B$28</f>
        <v>21500</v>
      </c>
      <c r="H8" s="16">
        <f>Cost!$B$28</f>
        <v>21500</v>
      </c>
      <c r="I8" s="16">
        <f>Cost!$B$28</f>
        <v>21500</v>
      </c>
      <c r="J8" s="16">
        <f>Cost!$B$28</f>
        <v>21500</v>
      </c>
      <c r="K8" s="16">
        <f>Cost!$B$28</f>
        <v>21500</v>
      </c>
      <c r="L8" s="16">
        <f>Cost!$B$28</f>
        <v>21500</v>
      </c>
      <c r="M8" s="16">
        <f>Cost!$B$28</f>
        <v>21500</v>
      </c>
    </row>
    <row r="9" spans="1:13" x14ac:dyDescent="0.3">
      <c r="A9" t="s">
        <v>170</v>
      </c>
      <c r="B9" s="16">
        <f>Cost!$E$28</f>
        <v>31000</v>
      </c>
      <c r="C9" s="16">
        <f>Cost!$E$28</f>
        <v>31000</v>
      </c>
      <c r="D9" s="16">
        <f>Cost!$E$28</f>
        <v>31000</v>
      </c>
      <c r="E9" s="16">
        <f>Cost!$E$28</f>
        <v>31000</v>
      </c>
      <c r="F9" s="16">
        <f>Cost!$E$28</f>
        <v>31000</v>
      </c>
      <c r="G9" s="16">
        <f>Cost!$E$28</f>
        <v>31000</v>
      </c>
      <c r="H9" s="16">
        <f>Cost!$E$28</f>
        <v>31000</v>
      </c>
      <c r="I9" s="16">
        <f>Cost!$E$28</f>
        <v>31000</v>
      </c>
      <c r="J9" s="16">
        <f>Cost!$E$28</f>
        <v>31000</v>
      </c>
      <c r="K9" s="16">
        <f>Cost!$E$28</f>
        <v>31000</v>
      </c>
      <c r="L9" s="16">
        <f>Cost!$E$28</f>
        <v>31000</v>
      </c>
      <c r="M9" s="16">
        <f>Cost!$E$28</f>
        <v>31000</v>
      </c>
    </row>
    <row r="10" spans="1:13" x14ac:dyDescent="0.3">
      <c r="A10" t="s">
        <v>178</v>
      </c>
      <c r="B10" s="16">
        <f>Cost!$H$28</f>
        <v>40000</v>
      </c>
      <c r="C10" s="16">
        <f>Cost!$H$28</f>
        <v>40000</v>
      </c>
      <c r="D10" s="16">
        <f>Cost!$H$28</f>
        <v>40000</v>
      </c>
      <c r="E10" s="16">
        <f>Cost!$H$28</f>
        <v>40000</v>
      </c>
      <c r="F10" s="16">
        <f>Cost!$H$28</f>
        <v>40000</v>
      </c>
      <c r="G10" s="16">
        <f>Cost!$H$28</f>
        <v>40000</v>
      </c>
      <c r="H10" s="16">
        <f>Cost!$H$28</f>
        <v>40000</v>
      </c>
      <c r="I10" s="16">
        <f>Cost!$H$28</f>
        <v>40000</v>
      </c>
      <c r="J10" s="16">
        <f>Cost!$H$28</f>
        <v>40000</v>
      </c>
      <c r="K10" s="16">
        <f>Cost!$H$28</f>
        <v>40000</v>
      </c>
      <c r="L10" s="16">
        <f>Cost!$H$28</f>
        <v>40000</v>
      </c>
      <c r="M10" s="16">
        <f>Cost!$H$28</f>
        <v>40000</v>
      </c>
    </row>
    <row r="11" spans="1:13" x14ac:dyDescent="0.3">
      <c r="A11" t="s">
        <v>177</v>
      </c>
      <c r="B11" s="16">
        <v>5000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x14ac:dyDescent="0.3">
      <c r="K12" s="16">
        <v>5000</v>
      </c>
      <c r="M12" s="16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P&amp;L</vt:lpstr>
      <vt:lpstr>Pricing and Average Spending</vt:lpstr>
      <vt:lpstr>Customer Acquisition</vt:lpstr>
      <vt:lpstr>Expenses Newbustand</vt:lpstr>
      <vt:lpstr>Expenses Palay Market</vt:lpstr>
      <vt:lpstr>Expenses Jose School</vt:lpstr>
      <vt:lpstr>Revenue</vt:lpstr>
      <vt:lpstr>Capital</vt:lpstr>
      <vt:lpstr>Cost</vt:lpstr>
      <vt:lpstr>Labour</vt:lpstr>
      <vt:lpstr>CapEx</vt:lpstr>
      <vt:lpstr>customer</vt:lpstr>
      <vt:lpstr>location1</vt:lpstr>
      <vt:lpstr>location2</vt:lpstr>
      <vt:lpstr>location3</vt:lpstr>
      <vt:lpstr>Price</vt:lpstr>
      <vt:lpstr>Revenuepermonth</vt:lpstr>
      <vt:lpstr>Revenuepermonthaftercalculations</vt:lpstr>
      <vt:lpstr>Revenueperyear</vt:lpstr>
      <vt:lpstr>Revenueperyearaftercalculations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Maduri Msc</dc:creator>
  <cp:lastModifiedBy>Maduri Msc</cp:lastModifiedBy>
  <dcterms:created xsi:type="dcterms:W3CDTF">2025-10-22T08:43:27Z</dcterms:created>
  <dcterms:modified xsi:type="dcterms:W3CDTF">2026-03-24T19:40:54Z</dcterms:modified>
</cp:coreProperties>
</file>